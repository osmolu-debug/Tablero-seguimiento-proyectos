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500" firstSheet="1" activeTab="1" autoFilterDateGrouping="1"/>
  </bookViews>
  <sheets>
    <sheet xmlns:r="http://schemas.openxmlformats.org/officeDocument/2006/relationships" name="📋 Instrucciones" sheetId="1" state="visible" r:id="rId1"/>
    <sheet xmlns:r="http://schemas.openxmlformats.org/officeDocument/2006/relationships" name="Data Original" sheetId="2" state="visible" r:id="rId2"/>
    <sheet xmlns:r="http://schemas.openxmlformats.org/officeDocument/2006/relationships" name="🚀 Exportar" sheetId="3" state="visible" r:id="rId3"/>
    <sheet xmlns:r="http://schemas.openxmlformats.org/officeDocument/2006/relationships" name="📥 Importar Tareas" sheetId="4" state="visible" r:id="rId4"/>
    <sheet xmlns:r="http://schemas.openxmlformats.org/officeDocument/2006/relationships" name="Formulario Tareas" sheetId="5" state="visible" r:id="rId5"/>
    <sheet xmlns:r="http://schemas.openxmlformats.org/officeDocument/2006/relationships" name="Dashboard" sheetId="6" state="visible" r:id="rId6"/>
    <sheet xmlns:r="http://schemas.openxmlformats.org/officeDocument/2006/relationships" name="P1" sheetId="7" state="visible" r:id="rId7"/>
    <sheet xmlns:r="http://schemas.openxmlformats.org/officeDocument/2006/relationships" name="P2" sheetId="8" state="visible" r:id="rId8"/>
    <sheet xmlns:r="http://schemas.openxmlformats.org/officeDocument/2006/relationships" name="P3" sheetId="9" state="visible" r:id="rId9"/>
    <sheet xmlns:r="http://schemas.openxmlformats.org/officeDocument/2006/relationships" name="P4" sheetId="10" state="visible" r:id="rId10"/>
    <sheet xmlns:r="http://schemas.openxmlformats.org/officeDocument/2006/relationships" name="P5" sheetId="11" state="visible" r:id="rId11"/>
    <sheet xmlns:r="http://schemas.openxmlformats.org/officeDocument/2006/relationships" name="P6" sheetId="12" state="visible" r:id="rId12"/>
    <sheet xmlns:r="http://schemas.openxmlformats.org/officeDocument/2006/relationships" name="P7" sheetId="13" state="visible" r:id="rId13"/>
    <sheet xmlns:r="http://schemas.openxmlformats.org/officeDocument/2006/relationships" name="P8" sheetId="14" state="visible" r:id="rId14"/>
    <sheet xmlns:r="http://schemas.openxmlformats.org/officeDocument/2006/relationships" name="P9" sheetId="15" state="visible" r:id="rId15"/>
    <sheet xmlns:r="http://schemas.openxmlformats.org/officeDocument/2006/relationships" name="P10" sheetId="16" state="visible" r:id="rId16"/>
    <sheet xmlns:r="http://schemas.openxmlformats.org/officeDocument/2006/relationships" name="P11" sheetId="17" state="visible" r:id="rId17"/>
    <sheet xmlns:r="http://schemas.openxmlformats.org/officeDocument/2006/relationships" name="P12" sheetId="18" state="visible" r:id="rId18"/>
    <sheet xmlns:r="http://schemas.openxmlformats.org/officeDocument/2006/relationships" name="P13" sheetId="19" state="visible" r:id="rId19"/>
    <sheet xmlns:r="http://schemas.openxmlformats.org/officeDocument/2006/relationships" name="P14" sheetId="20" state="visible" r:id="rId20"/>
    <sheet xmlns:r="http://schemas.openxmlformats.org/officeDocument/2006/relationships" name="P15" sheetId="21" state="visible" r:id="rId21"/>
    <sheet xmlns:r="http://schemas.openxmlformats.org/officeDocument/2006/relationships" name="P16" sheetId="22" state="visible" r:id="rId22"/>
    <sheet xmlns:r="http://schemas.openxmlformats.org/officeDocument/2006/relationships" name="P17" sheetId="23" state="visible" r:id="rId23"/>
    <sheet xmlns:r="http://schemas.openxmlformats.org/officeDocument/2006/relationships" name="P18" sheetId="24" state="visible" r:id="rId24"/>
    <sheet xmlns:r="http://schemas.openxmlformats.org/officeDocument/2006/relationships" name="P19" sheetId="25" state="visible" r:id="rId25"/>
    <sheet xmlns:r="http://schemas.openxmlformats.org/officeDocument/2006/relationships" name="P20" sheetId="26" state="visible" r:id="rId26"/>
    <sheet xmlns:r="http://schemas.openxmlformats.org/officeDocument/2006/relationships" name="P21" sheetId="27" state="visible" r:id="rId27"/>
    <sheet xmlns:r="http://schemas.openxmlformats.org/officeDocument/2006/relationships" name="P22" sheetId="28" state="visible" r:id="rId28"/>
    <sheet xmlns:r="http://schemas.openxmlformats.org/officeDocument/2006/relationships" name="P23" sheetId="29" state="visible" r:id="rId29"/>
    <sheet xmlns:r="http://schemas.openxmlformats.org/officeDocument/2006/relationships" name="P24" sheetId="30" state="visible" r:id="rId30"/>
    <sheet xmlns:r="http://schemas.openxmlformats.org/officeDocument/2006/relationships" name="P25" sheetId="31" state="visible" r:id="rId31"/>
    <sheet xmlns:r="http://schemas.openxmlformats.org/officeDocument/2006/relationships" name="P26" sheetId="32" state="visible" r:id="rId32"/>
    <sheet xmlns:r="http://schemas.openxmlformats.org/officeDocument/2006/relationships" name="P27" sheetId="33" state="visible" r:id="rId33"/>
    <sheet xmlns:r="http://schemas.openxmlformats.org/officeDocument/2006/relationships" name="P28" sheetId="34" state="visible" r:id="rId34"/>
  </sheets>
  <definedNames>
    <definedName name="_xlnm._FilterDatabase" localSheetId="1" hidden="1">'Data Original'!$A$1:$AC$29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dd/mm/yyyy"/>
    <numFmt numFmtId="165" formatCode="d/mm/yyyy;@"/>
    <numFmt numFmtId="166" formatCode="dd/mm/yy;@"/>
    <numFmt numFmtId="167" formatCode="0&quot;%&quot;"/>
  </numFmts>
  <fonts count="58">
    <font>
      <name val="Calibri"/>
      <charset val="1"/>
      <family val="2"/>
      <color theme="1"/>
      <sz val="11"/>
    </font>
    <font>
      <name val="Arial"/>
      <family val="2"/>
      <b val="1"/>
      <color rgb="FFFFFFFF"/>
      <sz val="16"/>
    </font>
    <font>
      <name val="Arial"/>
      <family val="2"/>
      <i val="1"/>
      <color rgb="FF3A4F66"/>
      <sz val="10"/>
    </font>
    <font>
      <name val="Arial"/>
      <family val="2"/>
      <b val="1"/>
      <color rgb="FF3A4F66"/>
      <sz val="11"/>
    </font>
    <font>
      <name val="Arial"/>
      <family val="2"/>
      <b val="1"/>
      <color rgb="FF000000"/>
      <sz val="12"/>
    </font>
    <font>
      <name val="Arial"/>
      <family val="2"/>
      <i val="1"/>
      <color rgb="FF6E8097"/>
      <sz val="9"/>
    </font>
    <font>
      <name val="Arial"/>
      <family val="2"/>
      <b val="1"/>
      <color rgb="FFFFFFFF"/>
      <sz val="10"/>
    </font>
    <font>
      <name val="Arial"/>
      <family val="2"/>
      <b val="1"/>
      <color rgb="FF3A4F66"/>
      <sz val="10"/>
    </font>
    <font>
      <name val="Arial"/>
      <family val="2"/>
      <color rgb="FF000000"/>
      <sz val="10"/>
    </font>
    <font>
      <name val="Arial"/>
      <family val="2"/>
      <b val="1"/>
      <color rgb="FF000000"/>
      <sz val="10"/>
    </font>
    <font>
      <name val="Arial"/>
      <family val="2"/>
      <b val="1"/>
      <color rgb="FF000000"/>
      <sz val="11"/>
    </font>
    <font>
      <name val="Arial"/>
      <family val="2"/>
      <color rgb="FF3A4F66"/>
      <sz val="9"/>
    </font>
    <font>
      <name val="Arial"/>
      <family val="2"/>
      <b val="1"/>
      <color rgb="FFFFFFFF"/>
      <sz val="15"/>
    </font>
    <font>
      <name val="Arial"/>
      <family val="2"/>
      <b val="1"/>
      <color rgb="FF0B8FA0"/>
      <sz val="10"/>
    </font>
    <font>
      <name val="Arial"/>
      <family val="2"/>
      <b val="1"/>
      <color rgb="FF0F1824"/>
      <sz val="13"/>
    </font>
    <font>
      <name val="Arial"/>
      <family val="2"/>
      <b val="1"/>
      <color rgb="FFFFFFFF"/>
      <sz val="13"/>
    </font>
    <font>
      <name val="Arial"/>
      <family val="2"/>
      <b val="1"/>
      <color rgb="FFFFFFFF"/>
      <sz val="9"/>
    </font>
    <font>
      <name val="Arial"/>
      <family val="2"/>
      <b val="1"/>
      <color rgb="FF0F1824"/>
      <sz val="9"/>
    </font>
    <font>
      <name val="Arial"/>
      <family val="2"/>
      <b val="1"/>
      <color rgb="FF0F1824"/>
      <sz val="8"/>
    </font>
    <font>
      <name val="Arial"/>
      <family val="2"/>
      <color rgb="FF0F1824"/>
      <sz val="9"/>
    </font>
    <font>
      <name val="Arial"/>
      <family val="2"/>
      <b val="1"/>
      <color rgb="FF0F1824"/>
      <sz val="10"/>
    </font>
    <font>
      <name val="Arial"/>
      <family val="2"/>
      <b val="1"/>
      <color rgb="FF6E8097"/>
      <sz val="8"/>
    </font>
    <font>
      <name val="Arial"/>
      <family val="2"/>
      <b val="1"/>
      <color rgb="FF166534"/>
      <sz val="9"/>
    </font>
    <font>
      <name val="Arial"/>
      <family val="2"/>
      <b val="1"/>
      <color rgb="FF0F1824"/>
      <sz val="11"/>
    </font>
    <font>
      <name val="Arial"/>
      <family val="2"/>
      <b val="1"/>
      <color rgb="FF3A4F66"/>
      <sz val="9"/>
    </font>
    <font>
      <name val="Arial"/>
      <family val="2"/>
      <b val="1"/>
      <color rgb="FF0B8FA0"/>
      <sz val="11"/>
    </font>
    <font>
      <name val="Arial"/>
      <family val="2"/>
      <i val="1"/>
      <color rgb="FF6E8097"/>
      <sz val="8"/>
    </font>
    <font>
      <name val="Arial"/>
      <family val="2"/>
      <b val="1"/>
      <color rgb="FFFFFFFF"/>
      <sz val="16"/>
    </font>
    <font>
      <name val="Arial"/>
      <family val="2"/>
      <i val="1"/>
      <color rgb="FF0B6975"/>
      <sz val="11"/>
    </font>
    <font>
      <name val="Arial"/>
      <family val="2"/>
      <b val="1"/>
      <color rgb="FFFFFFFF"/>
      <sz val="11"/>
    </font>
    <font>
      <name val="Arial"/>
      <family val="2"/>
      <b val="1"/>
      <color rgb="FF0B6975"/>
      <sz val="10"/>
    </font>
    <font>
      <name val="Arial"/>
      <family val="2"/>
      <color rgb="FF333333"/>
      <sz val="10"/>
    </font>
    <font>
      <name val="Arial"/>
      <family val="2"/>
      <b val="1"/>
      <color rgb="FFFFFFFF"/>
      <sz val="9"/>
    </font>
    <font>
      <name val="Arial"/>
      <family val="2"/>
      <sz val="9"/>
    </font>
    <font>
      <name val="Arial"/>
      <family val="2"/>
      <b val="1"/>
      <color rgb="FFFFFFFF"/>
      <sz val="14"/>
    </font>
    <font>
      <name val="Arial"/>
      <family val="2"/>
      <b val="1"/>
      <color rgb="FFFFFFFF"/>
      <sz val="13"/>
    </font>
    <font>
      <name val="Arial"/>
      <family val="2"/>
      <b val="1"/>
      <color rgb="FFFFFFFF"/>
      <sz val="10"/>
    </font>
    <font>
      <name val="Arial"/>
      <family val="2"/>
      <i val="1"/>
      <color rgb="FF0B6975"/>
      <sz val="9"/>
    </font>
    <font>
      <name val="Arial"/>
      <family val="2"/>
      <b val="1"/>
      <color rgb="FF0B6975"/>
      <sz val="9"/>
    </font>
    <font>
      <name val="Arial"/>
      <family val="2"/>
      <color rgb="FF1A3A4A"/>
      <sz val="9"/>
    </font>
    <font>
      <name val="Arial"/>
      <family val="2"/>
      <b val="1"/>
      <color rgb="FF1A3A4A"/>
      <sz val="9"/>
    </font>
    <font>
      <name val="Arial"/>
      <family val="2"/>
      <b val="1"/>
      <sz val="9"/>
    </font>
    <font>
      <name val="Arial"/>
      <family val="2"/>
      <color rgb="FF0E9FAF"/>
      <sz val="9"/>
    </font>
    <font>
      <name val="Arial"/>
      <family val="2"/>
      <b val="1"/>
      <color rgb="FF0B6975"/>
      <sz val="12"/>
    </font>
    <font>
      <name val="Arial"/>
      <family val="2"/>
      <color rgb="FF0B6975"/>
      <sz val="9"/>
    </font>
    <font>
      <name val="Courier New"/>
      <family val="3"/>
      <color rgb="FF1A3A4A"/>
      <sz val="8"/>
    </font>
    <font>
      <name val="Arial"/>
      <family val="2"/>
      <i val="1"/>
      <color rgb="FF056070"/>
      <sz val="10"/>
    </font>
    <font>
      <name val="Courier New"/>
      <family val="3"/>
      <color rgb="FF0A2A3A"/>
      <sz val="8"/>
    </font>
    <font>
      <name val="Calibri"/>
      <charset val="1"/>
      <family val="2"/>
      <color theme="1"/>
      <sz val="11"/>
    </font>
    <font>
      <name val="Calibri"/>
      <b val="1"/>
      <color rgb="00FFFFFF"/>
      <sz val="14"/>
    </font>
    <font>
      <name val="Calibri"/>
      <color rgb="00FFFFFF"/>
      <sz val="10"/>
    </font>
    <font>
      <name val="Calibri"/>
      <b val="1"/>
      <color rgb="000A1E2C"/>
      <sz val="11"/>
    </font>
    <font>
      <name val="Calibri"/>
      <b val="1"/>
      <color rgb="00056070"/>
      <sz val="10"/>
    </font>
    <font>
      <name val="Calibri"/>
      <sz val="10"/>
    </font>
    <font>
      <name val="Calibri"/>
      <b val="1"/>
      <color rgb="00FFFFFF"/>
      <sz val="11"/>
    </font>
    <font>
      <name val="Courier New"/>
      <color rgb="001B3A10"/>
      <sz val="9"/>
    </font>
    <font>
      <name val="Calibri"/>
      <b val="1"/>
      <color rgb="007A5C00"/>
      <sz val="10"/>
    </font>
    <font>
      <name val="Calibri"/>
      <color rgb="00B71C1C"/>
      <sz val="9"/>
    </font>
  </fonts>
  <fills count="30">
    <fill>
      <patternFill/>
    </fill>
    <fill>
      <patternFill patternType="gray125"/>
    </fill>
    <fill>
      <patternFill patternType="solid">
        <fgColor rgb="FF3A4F66"/>
        <bgColor rgb="FF254061"/>
      </patternFill>
    </fill>
    <fill>
      <patternFill patternType="solid">
        <fgColor rgb="FF0B8FA0"/>
        <bgColor rgb="FF008080"/>
      </patternFill>
    </fill>
    <fill>
      <patternFill patternType="solid">
        <fgColor rgb="FFDFF4F7"/>
        <bgColor rgb="FFEDF0F5"/>
      </patternFill>
    </fill>
    <fill>
      <patternFill patternType="solid">
        <fgColor rgb="FFEEF2F7"/>
        <bgColor rgb="FFEDF0F5"/>
      </patternFill>
    </fill>
    <fill>
      <patternFill patternType="solid">
        <fgColor rgb="FFFFEB9C"/>
        <bgColor rgb="FFE7E6E6"/>
      </patternFill>
    </fill>
    <fill>
      <patternFill patternType="solid">
        <fgColor rgb="FFEDF0F5"/>
        <bgColor rgb="FFEEF2F7"/>
      </patternFill>
    </fill>
    <fill>
      <patternFill patternType="solid">
        <fgColor rgb="FFD9E2F3"/>
        <bgColor rgb="FFDCE5F0"/>
      </patternFill>
    </fill>
    <fill>
      <patternFill patternType="solid">
        <fgColor rgb="FFE2E8F0"/>
        <bgColor rgb="FFDCE5F0"/>
      </patternFill>
    </fill>
    <fill>
      <patternFill patternType="solid">
        <fgColor rgb="FFC9A84C"/>
        <bgColor rgb="FFA5A5A5"/>
      </patternFill>
    </fill>
    <fill>
      <patternFill patternType="solid">
        <fgColor rgb="FFFCD34D"/>
        <bgColor rgb="FFFFEB9C"/>
      </patternFill>
    </fill>
    <fill>
      <patternFill patternType="solid">
        <fgColor rgb="FFFFFFFF"/>
        <bgColor rgb="FFFFFBEB"/>
      </patternFill>
    </fill>
    <fill>
      <patternFill patternType="solid">
        <fgColor rgb="FFDCE5F0"/>
        <bgColor rgb="FFD9E2F3"/>
      </patternFill>
    </fill>
    <fill>
      <patternFill patternType="solid">
        <fgColor rgb="FFF4F7FC"/>
        <bgColor rgb="FFEEF2F7"/>
      </patternFill>
    </fill>
    <fill>
      <patternFill patternType="solid">
        <fgColor rgb="FF0B6975"/>
      </patternFill>
    </fill>
    <fill>
      <patternFill patternType="solid">
        <fgColor rgb="FFD0F4F8"/>
      </patternFill>
    </fill>
    <fill>
      <patternFill patternType="solid">
        <fgColor rgb="FF0E9FAF"/>
      </patternFill>
    </fill>
    <fill>
      <patternFill patternType="solid">
        <fgColor rgb="FFFFFFFF"/>
      </patternFill>
    </fill>
    <fill>
      <patternFill patternType="solid">
        <fgColor rgb="FFF0F4F6"/>
      </patternFill>
    </fill>
    <fill>
      <patternFill patternType="solid">
        <fgColor rgb="FFFFF9C4"/>
      </patternFill>
    </fill>
    <fill>
      <patternFill patternType="solid">
        <fgColor rgb="FFF8FEFF"/>
      </patternFill>
    </fill>
    <fill>
      <patternFill patternType="solid">
        <fgColor rgb="FFF0F8FF"/>
      </patternFill>
    </fill>
    <fill>
      <patternFill patternType="solid">
        <fgColor rgb="000A1E2C"/>
      </patternFill>
    </fill>
    <fill>
      <patternFill patternType="solid">
        <fgColor rgb="000B8FA0"/>
      </patternFill>
    </fill>
    <fill>
      <patternFill patternType="solid">
        <fgColor rgb="00E8F9FB"/>
      </patternFill>
    </fill>
    <fill>
      <patternFill patternType="solid">
        <fgColor rgb="001B7A3E"/>
      </patternFill>
    </fill>
    <fill>
      <patternFill patternType="solid">
        <fgColor rgb="000D47A1"/>
      </patternFill>
    </fill>
    <fill>
      <patternFill patternType="solid">
        <fgColor rgb="00F1F8E9"/>
      </patternFill>
    </fill>
    <fill>
      <patternFill patternType="solid">
        <fgColor rgb="00FFF8E1"/>
      </patternFill>
    </fill>
  </fills>
  <borders count="51">
    <border>
      <left/>
      <right/>
      <top/>
      <bottom/>
      <diagonal/>
    </border>
    <border>
      <left style="thin">
        <color rgb="FFBEC9D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0B8FA0"/>
      </top>
      <bottom style="medium">
        <color rgb="FF0B8FA0"/>
      </bottom>
      <diagonal/>
    </border>
    <border>
      <left style="medium">
        <color rgb="FF0B8FA0"/>
      </left>
      <right style="medium">
        <color rgb="FF0B8FA0"/>
      </right>
      <top style="medium">
        <color rgb="FF0B8FA0"/>
      </top>
      <bottom style="medium">
        <color rgb="FF0B8FA0"/>
      </bottom>
      <diagonal/>
    </border>
    <border>
      <left/>
      <right style="medium">
        <color rgb="FF7A8FA8"/>
      </right>
      <top style="medium">
        <color rgb="FF0B8FA0"/>
      </top>
      <bottom style="medium">
        <color rgb="FF0B8FA0"/>
      </bottom>
      <diagonal/>
    </border>
    <border>
      <left style="medium">
        <color rgb="FF7A8FA8"/>
      </left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 style="medium">
        <color rgb="FF0B8FA0"/>
      </left>
      <right/>
      <top/>
      <bottom/>
      <diagonal/>
    </border>
    <border>
      <left/>
      <right style="thin">
        <color rgb="FFBEC9D8"/>
      </right>
      <top style="thin">
        <color rgb="FFBEC9D8"/>
      </top>
      <bottom style="thin">
        <color rgb="FFBEC9D8"/>
      </bottom>
      <diagonal/>
    </border>
    <border>
      <left/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97A8BC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/>
      <top style="medium">
        <color rgb="FF7A8FA8"/>
      </top>
      <bottom style="medium">
        <color rgb="FF7A8FA8"/>
      </bottom>
      <diagonal/>
    </border>
    <border>
      <left/>
      <right/>
      <top style="medium">
        <color rgb="FF7A8FA8"/>
      </top>
      <bottom style="medium">
        <color rgb="FF7A8FA8"/>
      </bottom>
      <diagonal/>
    </border>
    <border>
      <left/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/>
      <right/>
      <top style="medium">
        <color rgb="FF0B8FA0"/>
      </top>
      <bottom style="medium">
        <color rgb="FF0B8FA0"/>
      </bottom>
      <diagonal/>
    </border>
    <border>
      <left/>
      <right/>
      <top style="medium">
        <color rgb="FF0B8FA0"/>
      </top>
      <bottom style="thin">
        <color rgb="FFBEC9D8"/>
      </bottom>
      <diagonal/>
    </border>
    <border>
      <left/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/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/>
      <right/>
      <top style="thin">
        <color rgb="FFBEC9D8"/>
      </top>
      <bottom style="thin">
        <color rgb="FFBEC9D8"/>
      </bottom>
      <diagonal/>
    </border>
    <border>
      <left/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/>
      <right/>
      <top style="thin">
        <color rgb="FFBEC9D8"/>
      </top>
      <bottom style="medium">
        <color rgb="FF7A8FA8"/>
      </bottom>
      <diagonal/>
    </border>
    <border>
      <left style="thin">
        <color rgb="FFB0C4CC"/>
      </left>
      <right style="thin">
        <color rgb="FFB0C4CC"/>
      </right>
      <top style="thin">
        <color rgb="FFB0C4CC"/>
      </top>
      <bottom style="thin">
        <color rgb="FFB0C4CC"/>
      </bottom>
      <diagonal/>
    </border>
    <border>
      <left style="thin">
        <color rgb="FFB0C4CC"/>
      </left>
      <right/>
      <top/>
      <bottom/>
      <diagonal/>
    </border>
    <border>
      <left/>
      <right style="thin">
        <color rgb="FFB0C4CC"/>
      </right>
      <top style="thin">
        <color rgb="FFB0C4CC"/>
      </top>
      <bottom/>
      <diagonal/>
    </border>
    <border>
      <left/>
      <right style="thin">
        <color rgb="FFB0C4CC"/>
      </right>
      <top/>
      <bottom/>
      <diagonal/>
    </border>
    <border>
      <left style="thin">
        <color rgb="FFB0C4CC"/>
      </left>
      <right/>
      <top/>
      <bottom style="thin">
        <color rgb="FFB0C4CC"/>
      </bottom>
      <diagonal/>
    </border>
    <border>
      <left/>
      <right style="thin">
        <color rgb="FFB0C4CC"/>
      </right>
      <top/>
      <bottom style="thin">
        <color rgb="FFB0C4CC"/>
      </bottom>
      <diagonal/>
    </border>
    <border>
      <left/>
      <right/>
      <top style="thin">
        <color rgb="FFB0C4CC"/>
      </top>
      <bottom style="thin">
        <color rgb="FFB0C4CC"/>
      </bottom>
      <diagonal/>
    </border>
    <border>
      <left/>
      <right style="thin">
        <color rgb="FFB0C4CC"/>
      </right>
      <top style="thin">
        <color rgb="FFB0C4CC"/>
      </top>
      <bottom style="thin">
        <color rgb="FFB0C4CC"/>
      </bottom>
      <diagonal/>
    </border>
    <border>
      <left/>
      <right/>
      <top style="thin">
        <color rgb="FFB0C4CC"/>
      </top>
      <bottom/>
      <diagonal/>
    </border>
    <border>
      <left/>
      <right/>
      <top style="medium">
        <color rgb="FF7A8FA8"/>
      </top>
      <bottom/>
      <diagonal/>
    </border>
    <border>
      <left/>
      <right style="medium">
        <color rgb="FF7A8FA8"/>
      </right>
      <top style="medium">
        <color rgb="FF7A8FA8"/>
      </top>
      <bottom/>
      <diagonal/>
    </border>
    <border>
      <left/>
      <right/>
      <top style="thin">
        <color rgb="FFBEC9D8"/>
      </top>
      <bottom/>
      <diagonal/>
    </border>
    <border>
      <left/>
      <right style="thin">
        <color rgb="FFBEC9D8"/>
      </right>
      <top style="thin">
        <color rgb="FFBEC9D8"/>
      </top>
      <bottom/>
      <diagonal/>
    </border>
    <border>
      <left/>
      <right style="medium">
        <color rgb="FF7A8FA8"/>
      </right>
      <top style="thin">
        <color rgb="FFBEC9D8"/>
      </top>
      <bottom/>
      <diagonal/>
    </border>
    <border>
      <left/>
      <right style="thin">
        <color rgb="FFBEC9D8"/>
      </right>
      <top style="medium">
        <color rgb="FF7A8FA8"/>
      </top>
      <bottom/>
      <diagonal/>
    </border>
    <border>
      <left/>
      <right/>
      <top style="medium">
        <color rgb="FF0B8FA0"/>
      </top>
      <bottom/>
      <diagonal/>
    </border>
    <border>
      <left/>
      <right style="medium">
        <color rgb="FF7A8FA8"/>
      </right>
      <top style="medium">
        <color rgb="FF0B8FA0"/>
      </top>
      <bottom/>
      <diagonal/>
    </border>
  </borders>
  <cellStyleXfs count="2">
    <xf numFmtId="0" fontId="48" fillId="0" borderId="0"/>
    <xf numFmtId="9" fontId="48" fillId="0" borderId="0"/>
  </cellStyleXfs>
  <cellXfs count="152">
    <xf numFmtId="0" fontId="0" fillId="0" borderId="0" pivotButton="0" quotePrefix="0" xfId="0"/>
    <xf numFmtId="0" fontId="6" fillId="2" borderId="1" applyAlignment="1" pivotButton="0" quotePrefix="0" xfId="0">
      <alignment horizontal="center" vertical="center" wrapText="1"/>
    </xf>
    <xf numFmtId="0" fontId="7" fillId="7" borderId="3" applyAlignment="1" pivotButton="0" quotePrefix="0" xfId="0">
      <alignment horizontal="center" vertical="center"/>
    </xf>
    <xf numFmtId="0" fontId="8" fillId="6" borderId="4" applyAlignment="1" pivotButton="0" quotePrefix="0" xfId="0">
      <alignment horizontal="left" vertical="center"/>
    </xf>
    <xf numFmtId="164" fontId="8" fillId="6" borderId="4" applyAlignment="1" pivotButton="0" quotePrefix="0" xfId="0">
      <alignment horizontal="center" vertical="center"/>
    </xf>
    <xf numFmtId="164" fontId="9" fillId="6" borderId="4" applyAlignment="1" pivotButton="0" quotePrefix="0" xfId="0">
      <alignment horizontal="center" vertical="center"/>
    </xf>
    <xf numFmtId="1" fontId="10" fillId="8" borderId="4" applyAlignment="1" pivotButton="0" quotePrefix="0" xfId="0">
      <alignment horizontal="center" vertical="center"/>
    </xf>
    <xf numFmtId="9" fontId="9" fillId="6" borderId="4" applyAlignment="1" pivotButton="0" quotePrefix="0" xfId="0">
      <alignment horizontal="center" vertical="center"/>
    </xf>
    <xf numFmtId="0" fontId="9" fillId="8" borderId="5" applyAlignment="1" pivotButton="0" quotePrefix="0" xfId="0">
      <alignment horizontal="center" vertical="center"/>
    </xf>
    <xf numFmtId="0" fontId="7" fillId="7" borderId="6" applyAlignment="1" pivotButton="0" quotePrefix="0" xfId="0">
      <alignment horizontal="center" vertical="center"/>
    </xf>
    <xf numFmtId="0" fontId="8" fillId="6" borderId="7" applyAlignment="1" pivotButton="0" quotePrefix="0" xfId="0">
      <alignment horizontal="left" vertical="center"/>
    </xf>
    <xf numFmtId="164" fontId="8" fillId="6" borderId="7" applyAlignment="1" pivotButton="0" quotePrefix="0" xfId="0">
      <alignment horizontal="center" vertical="center"/>
    </xf>
    <xf numFmtId="164" fontId="9" fillId="6" borderId="7" applyAlignment="1" pivotButton="0" quotePrefix="0" xfId="0">
      <alignment horizontal="center" vertical="center"/>
    </xf>
    <xf numFmtId="1" fontId="10" fillId="8" borderId="7" applyAlignment="1" pivotButton="0" quotePrefix="0" xfId="0">
      <alignment horizontal="center" vertical="center"/>
    </xf>
    <xf numFmtId="9" fontId="9" fillId="6" borderId="7" applyAlignment="1" pivotButton="0" quotePrefix="0" xfId="0">
      <alignment horizontal="center" vertical="center"/>
    </xf>
    <xf numFmtId="0" fontId="9" fillId="8" borderId="8" applyAlignment="1" pivotButton="0" quotePrefix="0" xfId="0">
      <alignment horizontal="center" vertical="center"/>
    </xf>
    <xf numFmtId="0" fontId="13" fillId="5" borderId="9" applyAlignment="1" pivotButton="0" quotePrefix="0" xfId="0">
      <alignment horizontal="right" vertical="center"/>
    </xf>
    <xf numFmtId="0" fontId="14" fillId="11" borderId="10" applyAlignment="1" pivotButton="0" quotePrefix="0" xfId="0">
      <alignment horizontal="center" vertical="center"/>
    </xf>
    <xf numFmtId="0" fontId="18" fillId="12" borderId="3" applyAlignment="1" pivotButton="0" quotePrefix="0" xfId="0">
      <alignment horizontal="center" vertical="center" wrapText="1"/>
    </xf>
    <xf numFmtId="1" fontId="14" fillId="12" borderId="4" applyAlignment="1" pivotButton="0" quotePrefix="0" xfId="0">
      <alignment horizontal="center" vertical="center"/>
    </xf>
    <xf numFmtId="0" fontId="18" fillId="12" borderId="6" applyAlignment="1" pivotButton="0" quotePrefix="0" xfId="0">
      <alignment horizontal="center" vertical="center" wrapText="1"/>
    </xf>
    <xf numFmtId="1" fontId="14" fillId="12" borderId="7" applyAlignment="1" pivotButton="0" quotePrefix="0" xfId="0">
      <alignment horizontal="center" vertical="center"/>
    </xf>
    <xf numFmtId="0" fontId="11" fillId="5" borderId="3" applyAlignment="1" pivotButton="0" quotePrefix="0" xfId="0">
      <alignment horizontal="left" vertical="center"/>
    </xf>
    <xf numFmtId="0" fontId="11" fillId="12" borderId="3" applyAlignment="1" pivotButton="0" quotePrefix="0" xfId="0">
      <alignment horizontal="left" vertical="center"/>
    </xf>
    <xf numFmtId="0" fontId="11" fillId="12" borderId="6" applyAlignment="1" pivotButton="0" quotePrefix="0" xfId="0">
      <alignment horizontal="left" vertical="center"/>
    </xf>
    <xf numFmtId="0" fontId="17" fillId="13" borderId="18" applyAlignment="1" pivotButton="0" quotePrefix="0" xfId="0">
      <alignment horizontal="center" vertical="center"/>
    </xf>
    <xf numFmtId="0" fontId="17" fillId="13" borderId="19" applyAlignment="1" pivotButton="0" quotePrefix="0" xfId="0">
      <alignment horizontal="center" vertical="center"/>
    </xf>
    <xf numFmtId="0" fontId="17" fillId="13" borderId="20" applyAlignment="1" pivotButton="0" quotePrefix="0" xfId="0">
      <alignment horizontal="center" vertical="center"/>
    </xf>
    <xf numFmtId="0" fontId="17" fillId="7" borderId="21" applyAlignment="1" pivotButton="0" quotePrefix="0" xfId="0">
      <alignment horizontal="center" vertical="center"/>
    </xf>
    <xf numFmtId="0" fontId="19" fillId="12" borderId="4" applyAlignment="1" pivotButton="0" quotePrefix="0" xfId="0">
      <alignment horizontal="left" vertical="center"/>
    </xf>
    <xf numFmtId="0" fontId="11" fillId="12" borderId="4" applyAlignment="1" pivotButton="0" quotePrefix="0" xfId="0">
      <alignment horizontal="center" vertical="center"/>
    </xf>
    <xf numFmtId="0" fontId="17" fillId="12" borderId="4" applyAlignment="1" pivotButton="0" quotePrefix="0" xfId="0">
      <alignment horizontal="center" vertical="center"/>
    </xf>
    <xf numFmtId="1" fontId="23" fillId="12" borderId="4" applyAlignment="1" pivotButton="0" quotePrefix="0" xfId="0">
      <alignment horizontal="center" vertical="center"/>
    </xf>
    <xf numFmtId="9" fontId="17" fillId="12" borderId="4" applyAlignment="1" pivotButton="0" quotePrefix="0" xfId="0">
      <alignment horizontal="center" vertical="center"/>
    </xf>
    <xf numFmtId="0" fontId="19" fillId="14" borderId="4" applyAlignment="1" pivotButton="0" quotePrefix="0" xfId="0">
      <alignment horizontal="left" vertical="center"/>
    </xf>
    <xf numFmtId="0" fontId="11" fillId="14" borderId="4" applyAlignment="1" pivotButton="0" quotePrefix="0" xfId="0">
      <alignment horizontal="center" vertical="center"/>
    </xf>
    <xf numFmtId="0" fontId="17" fillId="14" borderId="4" applyAlignment="1" pivotButton="0" quotePrefix="0" xfId="0">
      <alignment horizontal="center" vertical="center"/>
    </xf>
    <xf numFmtId="1" fontId="23" fillId="14" borderId="4" applyAlignment="1" pivotButton="0" quotePrefix="0" xfId="0">
      <alignment horizontal="center" vertical="center"/>
    </xf>
    <xf numFmtId="9" fontId="17" fillId="14" borderId="4" applyAlignment="1" pivotButton="0" quotePrefix="0" xfId="0">
      <alignment horizontal="center" vertical="center"/>
    </xf>
    <xf numFmtId="0" fontId="17" fillId="14" borderId="5" applyAlignment="1" pivotButton="0" quotePrefix="0" xfId="0">
      <alignment horizontal="center" vertical="center"/>
    </xf>
    <xf numFmtId="0" fontId="17" fillId="7" borderId="6" applyAlignment="1" pivotButton="0" quotePrefix="0" xfId="0">
      <alignment horizontal="center" vertical="center"/>
    </xf>
    <xf numFmtId="0" fontId="19" fillId="12" borderId="7" applyAlignment="1" pivotButton="0" quotePrefix="0" xfId="0">
      <alignment horizontal="left" vertical="center"/>
    </xf>
    <xf numFmtId="0" fontId="11" fillId="12" borderId="7" applyAlignment="1" pivotButton="0" quotePrefix="0" xfId="0">
      <alignment horizontal="center" vertical="center"/>
    </xf>
    <xf numFmtId="0" fontId="17" fillId="12" borderId="7" applyAlignment="1" pivotButton="0" quotePrefix="0" xfId="0">
      <alignment horizontal="center" vertical="center"/>
    </xf>
    <xf numFmtId="1" fontId="23" fillId="12" borderId="7" applyAlignment="1" pivotButton="0" quotePrefix="0" xfId="0">
      <alignment horizontal="center" vertical="center"/>
    </xf>
    <xf numFmtId="9" fontId="17" fillId="12" borderId="7" applyAlignment="1" pivotButton="0" quotePrefix="0" xfId="0">
      <alignment horizontal="center" vertical="center"/>
    </xf>
    <xf numFmtId="0" fontId="17" fillId="12" borderId="22" applyAlignment="1" pivotButton="0" quotePrefix="0" xfId="0">
      <alignment horizontal="center" vertical="center"/>
    </xf>
    <xf numFmtId="0" fontId="30" fillId="16" borderId="0" applyAlignment="1" pivotButton="0" quotePrefix="0" xfId="0">
      <alignment horizontal="left" vertical="center"/>
    </xf>
    <xf numFmtId="0" fontId="31" fillId="18" borderId="0" applyAlignment="1" pivotButton="0" quotePrefix="0" xfId="0">
      <alignment horizontal="left" vertical="center" wrapText="1"/>
    </xf>
    <xf numFmtId="0" fontId="32" fillId="15" borderId="34" applyAlignment="1" pivotButton="0" quotePrefix="0" xfId="0">
      <alignment horizontal="center" vertical="center" wrapText="1"/>
    </xf>
    <xf numFmtId="0" fontId="33" fillId="0" borderId="34" applyAlignment="1" pivotButton="0" quotePrefix="0" xfId="0">
      <alignment horizontal="left" vertical="center"/>
    </xf>
    <xf numFmtId="165" fontId="33" fillId="0" borderId="34" applyAlignment="1" pivotButton="0" quotePrefix="0" xfId="0">
      <alignment horizontal="left" vertical="center"/>
    </xf>
    <xf numFmtId="14" fontId="33" fillId="0" borderId="34" applyAlignment="1" pivotButton="0" quotePrefix="0" xfId="0">
      <alignment horizontal="left" vertical="center"/>
    </xf>
    <xf numFmtId="166" fontId="33" fillId="0" borderId="34" applyAlignment="1" pivotButton="0" quotePrefix="0" xfId="0">
      <alignment horizontal="left" vertical="center"/>
    </xf>
    <xf numFmtId="0" fontId="30" fillId="16" borderId="0" applyAlignment="1" pivotButton="0" quotePrefix="0" xfId="0">
      <alignment horizontal="center" vertical="center"/>
    </xf>
    <xf numFmtId="0" fontId="31" fillId="16" borderId="0" applyAlignment="1" pivotButton="0" quotePrefix="0" xfId="0">
      <alignment horizontal="left" vertical="center"/>
    </xf>
    <xf numFmtId="0" fontId="30" fillId="18" borderId="0" applyAlignment="1" pivotButton="0" quotePrefix="0" xfId="0">
      <alignment horizontal="center" vertical="center"/>
    </xf>
    <xf numFmtId="0" fontId="31" fillId="18" borderId="0" applyAlignment="1" pivotButton="0" quotePrefix="0" xfId="0">
      <alignment horizontal="left" vertical="center"/>
    </xf>
    <xf numFmtId="0" fontId="38" fillId="19" borderId="34" applyAlignment="1" pivotButton="0" quotePrefix="0" xfId="0">
      <alignment horizontal="center" vertical="center"/>
    </xf>
    <xf numFmtId="0" fontId="39" fillId="20" borderId="34" applyAlignment="1" pivotButton="0" quotePrefix="0" xfId="0">
      <alignment horizontal="center" vertical="center"/>
    </xf>
    <xf numFmtId="0" fontId="39" fillId="20" borderId="34" applyAlignment="1" pivotButton="0" quotePrefix="0" xfId="0">
      <alignment horizontal="left" vertical="center" wrapText="1"/>
    </xf>
    <xf numFmtId="164" fontId="39" fillId="20" borderId="34" applyAlignment="1" pivotButton="0" quotePrefix="0" xfId="0">
      <alignment horizontal="center" vertical="center"/>
    </xf>
    <xf numFmtId="0" fontId="40" fillId="19" borderId="34" applyAlignment="1" pivotButton="0" quotePrefix="0" xfId="0">
      <alignment horizontal="center" vertical="center"/>
    </xf>
    <xf numFmtId="167" fontId="40" fillId="20" borderId="34" applyAlignment="1" pivotButton="0" quotePrefix="0" xfId="0">
      <alignment horizontal="center" vertical="center"/>
    </xf>
    <xf numFmtId="0" fontId="41" fillId="19" borderId="34" applyAlignment="1" pivotButton="0" quotePrefix="0" xfId="0">
      <alignment horizontal="center" vertical="center"/>
    </xf>
    <xf numFmtId="0" fontId="42" fillId="19" borderId="34" applyAlignment="1" pivotButton="0" quotePrefix="0" xfId="0">
      <alignment horizontal="left" vertical="center"/>
    </xf>
    <xf numFmtId="167" fontId="43" fillId="16" borderId="34" applyAlignment="1" pivotButton="0" quotePrefix="0" xfId="0">
      <alignment horizontal="center" vertical="center"/>
    </xf>
    <xf numFmtId="0" fontId="45" fillId="21" borderId="0" applyAlignment="1" pivotButton="0" quotePrefix="0" xfId="0">
      <alignment horizontal="left" vertical="center"/>
    </xf>
    <xf numFmtId="0" fontId="16" fillId="15" borderId="34" applyAlignment="1" pivotButton="0" quotePrefix="0" xfId="0">
      <alignment horizontal="center" vertical="center" wrapText="1"/>
    </xf>
    <xf numFmtId="0" fontId="0" fillId="0" borderId="0" pivotButton="0" quotePrefix="0" xfId="0"/>
    <xf numFmtId="0" fontId="17" fillId="11" borderId="1" applyAlignment="1" pivotButton="0" quotePrefix="0" xfId="0">
      <alignment horizontal="center" vertical="center"/>
    </xf>
    <xf numFmtId="0" fontId="17" fillId="12" borderId="5" applyAlignment="1" pivotButton="0" quotePrefix="0" xfId="0">
      <alignment horizontal="center" vertical="center"/>
    </xf>
    <xf numFmtId="0" fontId="0" fillId="0" borderId="41" pivotButton="0" quotePrefix="0" xfId="0"/>
    <xf numFmtId="0" fontId="44" fillId="16" borderId="34" applyAlignment="1" pivotButton="0" quotePrefix="0" xfId="0">
      <alignment vertical="center"/>
    </xf>
    <xf numFmtId="9" fontId="44" fillId="16" borderId="34" applyAlignment="1" pivotButton="0" quotePrefix="0" xfId="1">
      <alignment vertical="center"/>
    </xf>
    <xf numFmtId="1" fontId="40" fillId="19" borderId="34" applyAlignment="1" pivotButton="0" quotePrefix="0" xfId="0">
      <alignment horizontal="center" vertical="center"/>
    </xf>
    <xf numFmtId="14" fontId="11" fillId="12" borderId="4" applyAlignment="1" pivotButton="0" quotePrefix="0" xfId="0">
      <alignment horizontal="center" vertical="center"/>
    </xf>
    <xf numFmtId="0" fontId="29" fillId="17" borderId="0" applyAlignment="1" pivotButton="0" quotePrefix="0" xfId="0">
      <alignment horizontal="left" vertical="center"/>
    </xf>
    <xf numFmtId="0" fontId="0" fillId="0" borderId="0" pivotButton="0" quotePrefix="0" xfId="0"/>
    <xf numFmtId="0" fontId="27" fillId="15" borderId="0" applyAlignment="1" pivotButton="0" quotePrefix="0" xfId="0">
      <alignment horizontal="center" vertical="center"/>
    </xf>
    <xf numFmtId="0" fontId="28" fillId="16" borderId="0" applyAlignment="1" pivotButton="0" quotePrefix="0" xfId="0">
      <alignment horizontal="center" vertical="center"/>
    </xf>
    <xf numFmtId="0" fontId="47" fillId="22" borderId="0" applyAlignment="1" pivotButton="0" quotePrefix="0" xfId="0">
      <alignment horizontal="left" vertical="center"/>
    </xf>
    <xf numFmtId="0" fontId="36" fillId="15" borderId="0" applyAlignment="1" pivotButton="0" quotePrefix="0" xfId="0">
      <alignment horizontal="left" vertical="center"/>
    </xf>
    <xf numFmtId="0" fontId="35" fillId="17" borderId="34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5" pivotButton="0" quotePrefix="0" xfId="0"/>
    <xf numFmtId="0" fontId="0" fillId="0" borderId="37" pivotButton="0" quotePrefix="0" xfId="0"/>
    <xf numFmtId="0" fontId="0" fillId="0" borderId="38" pivotButton="0" quotePrefix="0" xfId="0"/>
    <xf numFmtId="0" fontId="0" fillId="0" borderId="39" pivotButton="0" quotePrefix="0" xfId="0"/>
    <xf numFmtId="0" fontId="46" fillId="16" borderId="0" applyAlignment="1" pivotButton="0" quotePrefix="0" xfId="0">
      <alignment horizontal="center" vertical="center"/>
    </xf>
    <xf numFmtId="0" fontId="34" fillId="15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 wrapText="1"/>
    </xf>
    <xf numFmtId="0" fontId="2" fillId="4" borderId="0" applyAlignment="1" pivotButton="0" quotePrefix="0" xfId="0">
      <alignment horizontal="center" vertical="center"/>
    </xf>
    <xf numFmtId="0" fontId="4" fillId="6" borderId="2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3" fillId="5" borderId="0" applyAlignment="1" pivotButton="0" quotePrefix="0" xfId="0">
      <alignment horizontal="right" vertical="center"/>
    </xf>
    <xf numFmtId="0" fontId="3" fillId="9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center" vertical="center"/>
    </xf>
    <xf numFmtId="0" fontId="0" fillId="10" borderId="0" pivotButton="0" quotePrefix="0" xfId="0"/>
    <xf numFmtId="0" fontId="16" fillId="2" borderId="13" applyAlignment="1" pivotButton="0" quotePrefix="0" xfId="0">
      <alignment horizontal="left" vertical="center"/>
    </xf>
    <xf numFmtId="0" fontId="21" fillId="5" borderId="5" applyAlignment="1" pivotButton="0" quotePrefix="0" xfId="0">
      <alignment horizontal="left" vertical="center"/>
    </xf>
    <xf numFmtId="0" fontId="0" fillId="0" borderId="31" pivotButton="0" quotePrefix="0" xfId="0"/>
    <xf numFmtId="0" fontId="0" fillId="0" borderId="15" pivotButton="0" quotePrefix="0" xfId="0"/>
    <xf numFmtId="0" fontId="22" fillId="5" borderId="14" applyAlignment="1" pivotButton="0" quotePrefix="0" xfId="0">
      <alignment horizontal="right" vertical="center"/>
    </xf>
    <xf numFmtId="0" fontId="0" fillId="0" borderId="14" pivotButton="0" quotePrefix="0" xfId="0"/>
    <xf numFmtId="0" fontId="19" fillId="12" borderId="14" applyAlignment="1" pivotButton="0" quotePrefix="0" xfId="0">
      <alignment horizontal="center" vertical="center"/>
    </xf>
    <xf numFmtId="0" fontId="17" fillId="12" borderId="5" applyAlignment="1" pivotButton="0" quotePrefix="0" xfId="0">
      <alignment horizontal="center" vertical="center"/>
    </xf>
    <xf numFmtId="0" fontId="12" fillId="3" borderId="0" applyAlignment="1" pivotButton="0" quotePrefix="0" xfId="0">
      <alignment horizontal="center" vertical="center"/>
    </xf>
    <xf numFmtId="0" fontId="19" fillId="5" borderId="14" applyAlignment="1" pivotButton="0" quotePrefix="0" xfId="0">
      <alignment horizontal="right" vertical="center"/>
    </xf>
    <xf numFmtId="0" fontId="20" fillId="12" borderId="15" applyAlignment="1" pivotButton="0" quotePrefix="0" xfId="0">
      <alignment horizontal="center" vertical="center"/>
    </xf>
    <xf numFmtId="0" fontId="16" fillId="2" borderId="16" applyAlignment="1" pivotButton="0" quotePrefix="0" xfId="0">
      <alignment horizontal="center" vertical="center"/>
    </xf>
    <xf numFmtId="0" fontId="0" fillId="0" borderId="30" pivotButton="0" quotePrefix="0" xfId="0"/>
    <xf numFmtId="0" fontId="17" fillId="11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left" vertical="center"/>
    </xf>
    <xf numFmtId="0" fontId="0" fillId="0" borderId="27" pivotButton="0" quotePrefix="0" xfId="0"/>
    <xf numFmtId="0" fontId="0" fillId="0" borderId="11" pivotButton="0" quotePrefix="0" xfId="0"/>
    <xf numFmtId="0" fontId="19" fillId="12" borderId="7" applyAlignment="1" pivotButton="0" quotePrefix="0" xfId="0">
      <alignment horizontal="center" vertical="center"/>
    </xf>
    <xf numFmtId="0" fontId="0" fillId="0" borderId="32" pivotButton="0" quotePrefix="0" xfId="0"/>
    <xf numFmtId="0" fontId="19" fillId="12" borderId="14" applyAlignment="1" pivotButton="0" quotePrefix="0" xfId="0">
      <alignment horizontal="right" vertical="center" wrapText="1"/>
    </xf>
    <xf numFmtId="0" fontId="15" fillId="3" borderId="12" applyAlignment="1" pivotButton="0" quotePrefix="0" xfId="0">
      <alignment horizontal="center" vertical="center" wrapText="1"/>
    </xf>
    <xf numFmtId="0" fontId="0" fillId="0" borderId="28" pivotButton="0" quotePrefix="0" xfId="0"/>
    <xf numFmtId="0" fontId="0" fillId="0" borderId="29" pivotButton="0" quotePrefix="0" xfId="0"/>
    <xf numFmtId="0" fontId="17" fillId="12" borderId="6" applyAlignment="1" pivotButton="0" quotePrefix="0" xfId="0">
      <alignment horizontal="center" vertical="center"/>
    </xf>
    <xf numFmtId="0" fontId="0" fillId="0" borderId="33" pivotButton="0" quotePrefix="0" xfId="0"/>
    <xf numFmtId="0" fontId="20" fillId="12" borderId="7" applyAlignment="1" pivotButton="0" quotePrefix="0" xfId="0">
      <alignment horizontal="center" vertical="center"/>
    </xf>
    <xf numFmtId="0" fontId="24" fillId="12" borderId="23" applyAlignment="1" pivotButton="0" quotePrefix="0" xfId="0">
      <alignment horizontal="right" vertical="center"/>
    </xf>
    <xf numFmtId="0" fontId="19" fillId="12" borderId="7" applyAlignment="1" pivotButton="0" quotePrefix="0" xfId="0">
      <alignment horizontal="right" vertical="center"/>
    </xf>
    <xf numFmtId="0" fontId="26" fillId="4" borderId="0" applyAlignment="1" pivotButton="0" quotePrefix="0" xfId="0">
      <alignment horizontal="center" vertical="center"/>
    </xf>
    <xf numFmtId="0" fontId="17" fillId="12" borderId="24" applyAlignment="1" pivotButton="0" quotePrefix="0" xfId="0">
      <alignment horizontal="center" vertical="center"/>
    </xf>
    <xf numFmtId="0" fontId="16" fillId="2" borderId="17" applyAlignment="1" pivotButton="0" quotePrefix="0" xfId="0">
      <alignment horizontal="center" vertical="center"/>
    </xf>
    <xf numFmtId="0" fontId="25" fillId="12" borderId="24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36" fillId="15" borderId="34" applyAlignment="1" pivotButton="0" quotePrefix="0" xfId="0">
      <alignment horizontal="right" vertical="center"/>
    </xf>
    <xf numFmtId="0" fontId="0" fillId="0" borderId="40" pivotButton="0" quotePrefix="0" xfId="0"/>
    <xf numFmtId="0" fontId="0" fillId="0" borderId="41" pivotButton="0" quotePrefix="0" xfId="0"/>
    <xf numFmtId="0" fontId="37" fillId="16" borderId="0" applyAlignment="1" pivotButton="0" quotePrefix="0" xfId="0">
      <alignment horizontal="center" vertical="center"/>
    </xf>
    <xf numFmtId="9" fontId="44" fillId="16" borderId="34" applyAlignment="1" pivotButton="0" quotePrefix="0" xfId="1">
      <alignment horizontal="center" vertical="center"/>
    </xf>
    <xf numFmtId="9" fontId="0" fillId="0" borderId="41" pivotButton="0" quotePrefix="0" xfId="1"/>
    <xf numFmtId="0" fontId="35" fillId="15" borderId="0" applyAlignment="1" pivotButton="0" quotePrefix="0" xfId="0">
      <alignment horizontal="center" vertical="center"/>
    </xf>
    <xf numFmtId="0" fontId="44" fillId="16" borderId="34" applyAlignment="1" pivotButton="0" quotePrefix="0" xfId="0">
      <alignment horizontal="center" vertical="center"/>
    </xf>
    <xf numFmtId="0" fontId="49" fillId="23" borderId="0" applyAlignment="1" pivotButton="0" quotePrefix="0" xfId="0">
      <alignment horizontal="left" vertical="center" indent="1"/>
    </xf>
    <xf numFmtId="0" fontId="50" fillId="24" borderId="0" applyAlignment="1" pivotButton="0" quotePrefix="0" xfId="0">
      <alignment horizontal="left" vertical="center" indent="1"/>
    </xf>
    <xf numFmtId="0" fontId="51" fillId="0" borderId="0" pivotButton="0" quotePrefix="0" xfId="0"/>
    <xf numFmtId="0" fontId="52" fillId="25" borderId="0" pivotButton="0" quotePrefix="0" xfId="0"/>
    <xf numFmtId="0" fontId="53" fillId="0" borderId="0" pivotButton="0" quotePrefix="0" xfId="0"/>
    <xf numFmtId="0" fontId="54" fillId="26" borderId="0" pivotButton="0" quotePrefix="0" xfId="0"/>
    <xf numFmtId="0" fontId="54" fillId="27" borderId="0" pivotButton="0" quotePrefix="0" xfId="0"/>
    <xf numFmtId="0" fontId="55" fillId="28" borderId="0" pivotButton="0" quotePrefix="0" xfId="0"/>
    <xf numFmtId="0" fontId="56" fillId="29" borderId="0" pivotButton="0" quotePrefix="0" xfId="0"/>
    <xf numFmtId="0" fontId="57" fillId="0" borderId="0" pivotButton="0" quotePrefix="0" xfId="0"/>
  </cellXfs>
  <cellStyles count="2">
    <cellStyle name="Normal" xfId="0" builtinId="0"/>
    <cellStyle name="Porcentaje" xfId="1" builtinId="5"/>
  </cellStyles>
  <dxfs count="54"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0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0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0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1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1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1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1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1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1"/>
      </font>
      <fill>
        <patternFill>
          <bgColor rgb="FFF0FDF4"/>
        </patternFill>
      </fill>
    </dxf>
    <dxf>
      <font>
        <name val="Arial"/>
        <charset val="1"/>
        <b val="1"/>
        <color rgb="FF991B1B"/>
        <sz val="11"/>
      </font>
      <fill>
        <patternFill>
          <bgColor rgb="FFFEF2F2"/>
        </patternFill>
      </fill>
    </dxf>
    <dxf>
      <font>
        <name val="Arial"/>
        <charset val="1"/>
        <b val="1"/>
        <color rgb="FF78350F"/>
        <sz val="11"/>
      </font>
      <fill>
        <patternFill>
          <bgColor rgb="FFFFFBEB"/>
        </patternFill>
      </fill>
    </dxf>
    <dxf>
      <font>
        <name val="Arial"/>
        <charset val="1"/>
        <b val="1"/>
        <color rgb="FF166534"/>
        <sz val="11"/>
      </font>
      <fill>
        <patternFill>
          <bgColor rgb="FFF0FDF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2F2"/>
      <rgbColor rgb="FFFF00FF"/>
      <rgbColor rgb="FF00FFFF"/>
      <rgbColor rgb="FF991B1B"/>
      <rgbColor rgb="FF166534"/>
      <rgbColor rgb="FF000080"/>
      <rgbColor rgb="FF808000"/>
      <rgbColor rgb="FF800080"/>
      <rgbColor rgb="FF0B8FA0"/>
      <rgbColor rgb="FFBEC9D8"/>
      <rgbColor rgb="FF6E8097"/>
      <rgbColor rgb="FF97A8BC"/>
      <rgbColor rgb="FF993366"/>
      <rgbColor rgb="FFFFFBEB"/>
      <rgbColor rgb="FFDFF4F7"/>
      <rgbColor rgb="FF660066"/>
      <rgbColor rgb="FFFF8080"/>
      <rgbColor rgb="FF0066CC"/>
      <rgbColor rgb="FFD9E2F3"/>
      <rgbColor rgb="FF000080"/>
      <rgbColor rgb="FFFF00FF"/>
      <rgbColor rgb="FFEEF2F7"/>
      <rgbColor rgb="FF00FFFF"/>
      <rgbColor rgb="FF800080"/>
      <rgbColor rgb="FF800000"/>
      <rgbColor rgb="FF008080"/>
      <rgbColor rgb="FF0000FF"/>
      <rgbColor rgb="FF00CCFF"/>
      <rgbColor rgb="FFF0FDF4"/>
      <rgbColor rgb="FFE2E8F0"/>
      <rgbColor rgb="FFFFEB9C"/>
      <rgbColor rgb="FFDCE5F0"/>
      <rgbColor rgb="FFE7E6E6"/>
      <rgbColor rgb="FFEDF0F5"/>
      <rgbColor rgb="FFFCD34D"/>
      <rgbColor rgb="FF3366FF"/>
      <rgbColor rgb="FF33CCCC"/>
      <rgbColor rgb="FF99CC00"/>
      <rgbColor rgb="FFF4F7FC"/>
      <rgbColor rgb="FFC9A84C"/>
      <rgbColor rgb="FFFF6600"/>
      <rgbColor rgb="FF7A8FA8"/>
      <rgbColor rgb="FFA5A5A5"/>
      <rgbColor rgb="FF003366"/>
      <rgbColor rgb="FF339966"/>
      <rgbColor rgb="FF0F1824"/>
      <rgbColor rgb="FF333300"/>
      <rgbColor rgb="FF78350F"/>
      <rgbColor rgb="FF993366"/>
      <rgbColor rgb="FF3A4F66"/>
      <rgbColor rgb="FF25406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B1:D18"/>
  <sheetViews>
    <sheetView showGridLines="0" workbookViewId="0">
      <selection activeCell="A1" sqref="A1"/>
    </sheetView>
  </sheetViews>
  <sheetFormatPr baseColWidth="10" defaultColWidth="8.7265625" defaultRowHeight="14.5"/>
  <cols>
    <col width="2" customWidth="1" style="78" min="1" max="1"/>
    <col width="35" customWidth="1" style="78" min="2" max="2"/>
    <col width="60" customWidth="1" style="78" min="3" max="3"/>
    <col width="20" customWidth="1" style="78" min="4" max="4"/>
  </cols>
  <sheetData>
    <row r="1" ht="40" customHeight="1" s="78">
      <c r="B1" s="79" t="inlineStr">
        <is>
          <t>📊  PORTAFOLIO OTIC — SISTEMA DE DASHBOARD</t>
        </is>
      </c>
    </row>
    <row r="2" ht="22" customHeight="1" s="78">
      <c r="B2" s="80" t="inlineStr">
        <is>
          <t>Guía de uso del sistema</t>
        </is>
      </c>
    </row>
    <row r="4" ht="22" customHeight="1" s="78"/>
    <row r="5" ht="22" customHeight="1" s="78">
      <c r="B5" s="77" t="inlineStr">
        <is>
          <t>FLUJO DE TRABAJO</t>
        </is>
      </c>
    </row>
    <row r="6" ht="22" customHeight="1" s="78">
      <c r="B6" s="47" t="inlineStr">
        <is>
          <t>Paso 1 — Actualizar Data Original</t>
        </is>
      </c>
      <c r="C6" s="48" t="inlineStr">
        <is>
          <t>Vaya a la hoja "Data Original" y actualice fechas, estados y equipos de los proyectos.</t>
        </is>
      </c>
    </row>
    <row r="7" ht="22" customHeight="1" s="78">
      <c r="B7" s="47" t="inlineStr">
        <is>
          <t>Paso 2 — Cargar tareas por proyecto</t>
        </is>
      </c>
      <c r="C7" s="48" t="inlineStr">
        <is>
          <t>Vaya a la hoja del proyecto (P1, P2... P29) y llene las tareas comprometidas con fecha inicio, fin y % avance.</t>
        </is>
      </c>
    </row>
    <row r="8" ht="22" customHeight="1" s="78">
      <c r="B8" s="47" t="inlineStr">
        <is>
          <t>Paso 3 — Exportar JSON</t>
        </is>
      </c>
      <c r="C8" s="48" t="inlineStr">
        <is>
          <t>Vaya a la hoja "🚀 Exportar" y presione el botón EXPORTAR DASHBOARD. Se generará el archivo datos_otic.json.</t>
        </is>
      </c>
    </row>
    <row r="9" ht="22" customHeight="1" s="78">
      <c r="B9" s="47" t="inlineStr">
        <is>
          <t>Paso 4 — Abrir Dashboard</t>
        </is>
      </c>
      <c r="C9" s="48" t="inlineStr">
        <is>
          <t>Abra el archivo dashboard_otic.html en Chrome o Edge. Cargue el archivo datos_otic.json cuando se solicite.</t>
        </is>
      </c>
    </row>
    <row r="10" ht="22" customHeight="1" s="78"/>
    <row r="11" ht="22" customHeight="1" s="78">
      <c r="B11" s="77" t="inlineStr">
        <is>
          <t>SEMÁFOROS DE FECHAS</t>
        </is>
      </c>
    </row>
    <row r="12" ht="22" customHeight="1" s="78">
      <c r="B12" s="47" t="inlineStr">
        <is>
          <t>🔴 Crítico</t>
        </is>
      </c>
      <c r="C12" s="48" t="inlineStr">
        <is>
          <t>Menos de 5 días para la fecha clave</t>
        </is>
      </c>
    </row>
    <row r="13" ht="22" customHeight="1" s="78">
      <c r="B13" s="47" t="inlineStr">
        <is>
          <t>🟡 Alerta</t>
        </is>
      </c>
      <c r="C13" s="48" t="inlineStr">
        <is>
          <t>Entre 5 y 20 días para la fecha clave</t>
        </is>
      </c>
    </row>
    <row r="14" ht="22" customHeight="1" s="78">
      <c r="B14" s="47" t="inlineStr">
        <is>
          <t>🟢 En Tiempo</t>
        </is>
      </c>
      <c r="C14" s="48" t="inlineStr">
        <is>
          <t>Más de 20 días para la fecha clave</t>
        </is>
      </c>
    </row>
    <row r="15" ht="22" customHeight="1" s="78">
      <c r="B15" s="47" t="inlineStr">
        <is>
          <t>✅ Completada</t>
        </is>
      </c>
      <c r="C15" s="48" t="inlineStr">
        <is>
          <t>Tarea con 100% de avance</t>
        </is>
      </c>
    </row>
    <row r="16" ht="22" customHeight="1" s="78"/>
    <row r="17" ht="22" customHeight="1" s="78">
      <c r="B17" s="47" t="inlineStr">
        <is>
          <t>CAMPOS AMARILLOS</t>
        </is>
      </c>
      <c r="C17" s="48" t="inlineStr">
        <is>
          <t>Son los campos que usted debe llenar / actualizar</t>
        </is>
      </c>
    </row>
    <row r="18" ht="22" customHeight="1" s="78">
      <c r="B18" s="47" t="inlineStr">
        <is>
          <t>CAMPOS GRISES</t>
        </is>
      </c>
      <c r="C18" s="48" t="inlineStr">
        <is>
          <t>Se calculan automáticamente — NO modificar</t>
        </is>
      </c>
    </row>
  </sheetData>
  <mergeCells count="4">
    <mergeCell ref="B11:D11"/>
    <mergeCell ref="B1:D1"/>
    <mergeCell ref="B5:D5"/>
    <mergeCell ref="B2:D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U35"/>
  <sheetViews>
    <sheetView showGridLines="0" tabSelected="1" topLeftCell="H1" zoomScaleNormal="100" workbookViewId="0">
      <pane ySplit="1" topLeftCell="A2" activePane="bottomLeft" state="frozen"/>
      <selection pane="bottomLeft" activeCell="M2" sqref="M2"/>
    </sheetView>
  </sheetViews>
  <sheetFormatPr baseColWidth="10" defaultColWidth="8.6328125" defaultRowHeight="14.5"/>
  <cols>
    <col width="6" customWidth="1" style="78" min="1" max="1"/>
    <col width="14" customWidth="1" style="78" min="2" max="2"/>
    <col width="28" customWidth="1" style="78" min="3" max="3"/>
    <col width="16" customWidth="1" style="78" min="4" max="4"/>
    <col width="30" customWidth="1" style="78" min="5" max="5"/>
    <col width="50" customWidth="1" style="78" min="6" max="6"/>
    <col width="10" customWidth="1" style="78" min="7" max="7"/>
    <col width="30" customWidth="1" style="78" min="8" max="8"/>
    <col width="20" bestFit="1" customWidth="1" style="78" min="9" max="9"/>
    <col width="17.453125" customWidth="1" style="78" min="10" max="10"/>
    <col width="18.453125" customWidth="1" style="78" min="11" max="11"/>
    <col width="20.453125" customWidth="1" style="78" min="12" max="12"/>
    <col width="22" customWidth="1" style="78" min="13" max="13"/>
    <col width="17.7265625" customWidth="1" style="78" min="14" max="14"/>
    <col width="18" customWidth="1" style="78" min="15" max="15"/>
    <col width="14" customWidth="1" style="78" min="16" max="16"/>
    <col width="18" customWidth="1" style="78" min="17" max="17"/>
    <col width="18" bestFit="1" customWidth="1" style="78" min="18" max="18"/>
    <col width="14" customWidth="1" style="78" min="19" max="19"/>
    <col width="20" customWidth="1" style="78" min="20" max="20"/>
    <col width="20" bestFit="1" customWidth="1" style="78" min="21" max="21"/>
    <col width="14" customWidth="1" style="78" min="22" max="22"/>
    <col width="20" bestFit="1" customWidth="1" style="78" min="23" max="23"/>
    <col width="20" customWidth="1" style="78" min="24" max="24"/>
    <col width="22" customWidth="1" style="78" min="25" max="25"/>
    <col width="20" customWidth="1" style="78" min="26" max="26"/>
    <col width="25" customWidth="1" style="78" min="27" max="27"/>
    <col width="22" customWidth="1" style="78" min="28" max="29"/>
  </cols>
  <sheetData>
    <row r="1" ht="52" customHeight="1" s="78">
      <c r="A1" s="68" t="inlineStr">
        <is>
          <t>No.</t>
        </is>
      </c>
      <c r="B1" s="49" t="inlineStr">
        <is>
          <t>ESTADO</t>
        </is>
      </c>
      <c r="C1" s="49" t="inlineStr">
        <is>
          <t>PROYECTO</t>
        </is>
      </c>
      <c r="D1" s="49" t="inlineStr">
        <is>
          <t>COMPROBACION LINEA PAA (27/01/2026)</t>
        </is>
      </c>
      <c r="E1" s="49" t="inlineStr">
        <is>
          <t>MODALIDAD</t>
        </is>
      </c>
      <c r="F1" s="49" t="inlineStr">
        <is>
          <t>OBJETO</t>
        </is>
      </c>
      <c r="G1" s="49" t="inlineStr">
        <is>
          <t>PLAZO (MESES)</t>
        </is>
      </c>
      <c r="H1" s="49" t="inlineStr">
        <is>
          <t>MULTIPROCESO</t>
        </is>
      </c>
      <c r="I1" s="49" t="inlineStr">
        <is>
          <t>APROPIACION VIGENTE ACTUAL BOGDATA</t>
        </is>
      </c>
      <c r="J1" s="49" t="inlineStr">
        <is>
          <t>FECHA ENTREGA ABOGADO OTIC</t>
        </is>
      </c>
      <c r="K1" s="49" t="inlineStr">
        <is>
          <t>DIAS RESTANTES ENTREGA ABOGADO OTIC</t>
        </is>
      </c>
      <c r="L1" s="49" t="inlineStr">
        <is>
          <t xml:space="preserve">FECHA MESA DE TRABAJO  </t>
        </is>
      </c>
      <c r="M1" s="49" t="inlineStr">
        <is>
          <t>DIAS RESTANTES SOLICITUD MESA DE TRABAJO</t>
        </is>
      </c>
      <c r="N1" s="49" t="inlineStr">
        <is>
          <t>FECHA RADICACION CONTRATACION</t>
        </is>
      </c>
      <c r="O1" s="49" t="inlineStr">
        <is>
          <t>DIAS RESTANTES RADICACION CONTRATACION</t>
        </is>
      </c>
      <c r="P1" s="68" t="inlineStr">
        <is>
          <t>FECHA APROX ADJUDICACION</t>
        </is>
      </c>
      <c r="Q1" s="49" t="inlineStr">
        <is>
          <t>ESTRUCTURADOR OTIC</t>
        </is>
      </c>
      <c r="R1" s="49" t="inlineStr">
        <is>
          <t>ABOGADO OTIC</t>
        </is>
      </c>
      <c r="S1" s="49" t="inlineStr">
        <is>
          <t>EVALUADORES OTIC</t>
        </is>
      </c>
      <c r="T1" s="49" t="inlineStr">
        <is>
          <t>SUPERVISOR OTIC</t>
        </is>
      </c>
      <c r="U1" s="49" t="inlineStr">
        <is>
          <t>APOYO SUPERVISION OTIC</t>
        </is>
      </c>
    </row>
    <row r="2" ht="27.75" customHeight="1" s="78">
      <c r="A2" s="50" t="inlineStr">
        <is>
          <t>P1</t>
        </is>
      </c>
      <c r="B2" s="50" t="inlineStr">
        <is>
          <t>En Progreso</t>
        </is>
      </c>
      <c r="C2" s="50" t="inlineStr">
        <is>
          <t xml:space="preserve">DARUMA </t>
        </is>
      </c>
      <c r="D2" s="50" t="inlineStr">
        <is>
          <t>SGC-244</t>
        </is>
      </c>
      <c r="E2" s="50" t="inlineStr">
        <is>
          <t xml:space="preserve">12.4-CONTRATACIÓN DIRECTA-CONVENIOS O CONTRATOS INTERADMINISTRATIVOS </t>
        </is>
      </c>
      <c r="F2" s="50" t="inlineStr">
        <is>
          <t>ACTUALIZACION DEL SOFTWARE PARA LA ADMINISTRACION DE LA INFORMACION DEL MODELO INTEGRADO DE PLANEACION Y GESTION MIPG PARA LA SECRETARIA DISTRITAL DE MOVILIDAD</t>
        </is>
      </c>
      <c r="G2" s="50" t="n">
        <v>7</v>
      </c>
      <c r="H2" s="50" t="inlineStr">
        <is>
          <t>25. DARUMA - ORDENADOR DEL GASTO CORPORATIVA</t>
        </is>
      </c>
      <c r="I2" s="50" t="n">
        <v>15000000</v>
      </c>
      <c r="J2" s="51" t="n">
        <v>46162</v>
      </c>
      <c r="K2" s="50" t="n">
        <v>65</v>
      </c>
      <c r="L2" s="52" t="n">
        <v>46175</v>
      </c>
      <c r="M2" s="50" t="n">
        <v>74</v>
      </c>
      <c r="N2" s="52" t="n">
        <v>46195</v>
      </c>
      <c r="O2" s="50" t="n">
        <v>88</v>
      </c>
      <c r="P2" s="52" t="n">
        <v>46243</v>
      </c>
      <c r="Q2" s="50" t="inlineStr">
        <is>
          <t>Mayerly Benavides</t>
        </is>
      </c>
      <c r="R2" s="50" t="inlineStr">
        <is>
          <t>Carlos Gonzales</t>
        </is>
      </c>
      <c r="S2" s="50" t="inlineStr">
        <is>
          <t>N.A.</t>
        </is>
      </c>
      <c r="T2" s="50" t="inlineStr">
        <is>
          <t>Mayerly Benavides</t>
        </is>
      </c>
      <c r="U2" s="50" t="inlineStr">
        <is>
          <t>Jhon Edison Rozo</t>
        </is>
      </c>
    </row>
    <row r="3" ht="41.25" customHeight="1" s="78">
      <c r="A3" s="50" t="inlineStr">
        <is>
          <t>P2</t>
        </is>
      </c>
      <c r="B3" s="50" t="inlineStr">
        <is>
          <t>En Progreso</t>
        </is>
      </c>
      <c r="C3" s="50" t="inlineStr">
        <is>
          <t>ETAPA 2 SOLUCIONES PLATAFORMA TECNOLOGICA</t>
        </is>
      </c>
      <c r="D3" s="50" t="inlineStr">
        <is>
          <t>SGC-248</t>
        </is>
      </c>
      <c r="E3" s="50" t="inlineStr">
        <is>
          <t xml:space="preserve">200-LICITACIÓN PÚBLICA </t>
        </is>
      </c>
      <c r="F3" s="50" t="inlineStr">
        <is>
          <t>ETAPA 2 ADQUIRIR IMPLEMENTAR ACTUALIZAR Y SOPORTAR SOLUCIONES DE TECNOLOGIA Y SERVICIOS PARA CONTINUAR EL PROCESO DE RENOVACION DE LA PLATAFORMA TECNOLOGICA DE LA SECRETARIA DISTRITAL DE MOVILIDAD</t>
        </is>
      </c>
      <c r="G3" s="50" t="n">
        <v>6</v>
      </c>
      <c r="H3" s="50" t="inlineStr">
        <is>
          <t>PROCESO ÚNICO: ADQUISICIÓN EQUIPOS</t>
        </is>
      </c>
      <c r="I3" s="50" t="n">
        <v>2175194438</v>
      </c>
      <c r="J3" s="51" t="n">
        <v>46191</v>
      </c>
      <c r="K3" s="50" t="n">
        <v>86</v>
      </c>
      <c r="L3" s="52" t="n">
        <v>46204</v>
      </c>
      <c r="M3" s="50" t="n">
        <v>95</v>
      </c>
      <c r="N3" s="52" t="n">
        <v>46224</v>
      </c>
      <c r="O3" s="50" t="n">
        <v>109</v>
      </c>
      <c r="P3" s="52" t="n">
        <v>46357</v>
      </c>
      <c r="Q3" s="50" t="inlineStr">
        <is>
          <t xml:space="preserve">Yecid Rodriguez
Martha Zambrano </t>
        </is>
      </c>
      <c r="R3" s="50" t="inlineStr">
        <is>
          <t xml:space="preserve">Gabriela Delgado </t>
        </is>
      </c>
      <c r="S3" s="50" t="inlineStr">
        <is>
          <t>Miguel Alvarez
Oscar Correa</t>
        </is>
      </c>
      <c r="T3" s="50" t="n"/>
      <c r="U3" s="50" t="n"/>
    </row>
    <row r="4" ht="15" customHeight="1" s="78">
      <c r="A4" s="50" t="inlineStr">
        <is>
          <t>P3</t>
        </is>
      </c>
      <c r="B4" s="50" t="inlineStr">
        <is>
          <t>En Progreso</t>
        </is>
      </c>
      <c r="C4" s="50" t="inlineStr">
        <is>
          <t>GARANTIA EXTENDIDA LOTE 3</t>
        </is>
      </c>
      <c r="D4" s="50" t="inlineStr">
        <is>
          <t>SGC-357</t>
        </is>
      </c>
      <c r="E4" s="50" t="inlineStr">
        <is>
          <t>13.1-PROCESO MÍNIMA CUANTÍA</t>
        </is>
      </c>
      <c r="F4" s="50" t="inlineStr">
        <is>
          <t>RENOVACION DE SOPORTE DE FABRICA Y GARANTIA EXTENDIDA PARA LA PLATAFORMA LENOVO DE LA SECRETARIA DISTRITAL DE MOVILIDAD</t>
        </is>
      </c>
      <c r="G4" s="50" t="n">
        <v>2</v>
      </c>
      <c r="H4" s="50" t="inlineStr">
        <is>
          <t>25. DARUMA - ORDENADOR DEL GASTO CORPORATIVA</t>
        </is>
      </c>
      <c r="I4" s="50" t="n">
        <v>120000000</v>
      </c>
      <c r="J4" s="51" t="n">
        <v>46049</v>
      </c>
      <c r="K4" s="50" t="n">
        <v>-18</v>
      </c>
      <c r="L4" s="52" t="n">
        <v>46060</v>
      </c>
      <c r="M4" s="50" t="n">
        <v>-9</v>
      </c>
      <c r="N4" s="52" t="n">
        <v>46080</v>
      </c>
      <c r="O4" s="50" t="n">
        <v>7</v>
      </c>
      <c r="P4" s="52" t="n">
        <v>46136</v>
      </c>
      <c r="Q4" s="50" t="inlineStr">
        <is>
          <t>Miguel Barrera</t>
        </is>
      </c>
      <c r="R4" s="50" t="inlineStr">
        <is>
          <t xml:space="preserve">Gabriela Delgado </t>
        </is>
      </c>
      <c r="S4" s="50" t="inlineStr">
        <is>
          <t>Mayerly Benavidez</t>
        </is>
      </c>
      <c r="T4" s="50" t="inlineStr">
        <is>
          <t>Miguel Barrera</t>
        </is>
      </c>
      <c r="U4" s="50" t="n"/>
    </row>
    <row r="5" ht="15" customHeight="1" s="78">
      <c r="A5" s="50" t="inlineStr">
        <is>
          <t>P4</t>
        </is>
      </c>
      <c r="B5" s="50" t="inlineStr">
        <is>
          <t>En Progreso</t>
        </is>
      </c>
      <c r="C5" s="50" t="inlineStr">
        <is>
          <t>EQUIPOS ACTIVOS DE RED ETAPA 3</t>
        </is>
      </c>
      <c r="D5" s="50" t="inlineStr">
        <is>
          <t>SGC-359</t>
        </is>
      </c>
      <c r="E5" s="50" t="inlineStr">
        <is>
          <t>7-SELECCIÓN ABREVIADA - SUBASTA INVERSA</t>
        </is>
      </c>
      <c r="F5" s="50" t="inlineStr">
        <is>
          <t>ETAPA 3 ADQUISICION DE EQUIPOS ACTIVOS DE RED PARA LA SECRETARIA DISTRITAL DE MOVILIDAD</t>
        </is>
      </c>
      <c r="G5" s="50" t="n">
        <v>4</v>
      </c>
      <c r="H5" s="50" t="inlineStr">
        <is>
          <t>07. EQUIPOS ACTIVOS DE RED ETAPA 3 - ORDENADOR DEL GASTO: CORPORATIVA</t>
        </is>
      </c>
      <c r="I5" s="50" t="n">
        <v>479157000</v>
      </c>
      <c r="J5" s="51" t="n">
        <v>46247</v>
      </c>
      <c r="K5" s="50" t="n">
        <v>126</v>
      </c>
      <c r="L5" s="52" t="n">
        <v>46260</v>
      </c>
      <c r="M5" s="50" t="n">
        <v>135</v>
      </c>
      <c r="N5" s="52" t="n">
        <v>46280</v>
      </c>
      <c r="O5" s="50" t="n">
        <v>149</v>
      </c>
      <c r="P5" s="52" t="n">
        <v>46378</v>
      </c>
      <c r="Q5" s="50" t="inlineStr">
        <is>
          <t>Javier Pineda
Oscar Bolaños</t>
        </is>
      </c>
      <c r="R5" s="50" t="inlineStr">
        <is>
          <t xml:space="preserve">Gabriela Delgado </t>
        </is>
      </c>
      <c r="S5" s="50" t="inlineStr">
        <is>
          <t>Marisol Caro
Oscar Correa
Yecid Rodriguez</t>
        </is>
      </c>
      <c r="T5" s="50" t="inlineStr">
        <is>
          <t>Javier Pineda</t>
        </is>
      </c>
      <c r="U5" s="50" t="inlineStr">
        <is>
          <t>Oscar Bolaños</t>
        </is>
      </c>
    </row>
    <row r="6" ht="15" customHeight="1" s="78">
      <c r="A6" s="50" t="inlineStr">
        <is>
          <t>P5</t>
        </is>
      </c>
      <c r="B6" s="50" t="inlineStr">
        <is>
          <t>En Progreso</t>
        </is>
      </c>
      <c r="C6" s="50" t="inlineStr">
        <is>
          <t>GOOGLE WORKSPACE</t>
        </is>
      </c>
      <c r="D6" s="50" t="inlineStr">
        <is>
          <t>SGC-361</t>
        </is>
      </c>
      <c r="E6" s="50" t="inlineStr">
        <is>
          <t>14.2-SELECCIÓN ABREVIADA - COMPRA CATALOGO ACUERDO MARCO PRECIOS</t>
        </is>
      </c>
      <c r="F6" s="50" t="inlineStr">
        <is>
          <t>LICENCIAMIENTO DE LOS SERVICIOS DE GOOGLE WORKSPACE Y EL SOPORTE TECNICO PARA LA SECRETARIA DISTRITAL DE MOVILIDAD</t>
        </is>
      </c>
      <c r="G6" s="50" t="n">
        <v>12</v>
      </c>
      <c r="H6" s="50" t="inlineStr">
        <is>
          <t>09. SOFTWARE-LICENCIAMIENTO GOOGLE WORKSPACE - ORDENADOR DEL GASTO CORPORATIVA</t>
        </is>
      </c>
      <c r="I6" s="50" t="n">
        <v>2383173000</v>
      </c>
      <c r="J6" s="51" t="n">
        <v>46113</v>
      </c>
      <c r="K6" s="50" t="n">
        <v>30</v>
      </c>
      <c r="L6" s="52" t="n">
        <v>46126</v>
      </c>
      <c r="M6" s="50" t="n">
        <v>39</v>
      </c>
      <c r="N6" s="52" t="n">
        <v>46146</v>
      </c>
      <c r="O6" s="50" t="n">
        <v>53</v>
      </c>
      <c r="P6" s="52" t="n">
        <v>46216</v>
      </c>
      <c r="Q6" s="50" t="inlineStr">
        <is>
          <t xml:space="preserve">Jonathan Pernet </t>
        </is>
      </c>
      <c r="R6" s="50" t="inlineStr">
        <is>
          <t xml:space="preserve">Gabriela Delgado </t>
        </is>
      </c>
      <c r="S6" s="50" t="inlineStr">
        <is>
          <t>N.A.</t>
        </is>
      </c>
      <c r="T6" s="50" t="inlineStr">
        <is>
          <t>Javier Pineda</t>
        </is>
      </c>
      <c r="U6" s="50" t="inlineStr">
        <is>
          <t>Jonathan Pernet</t>
        </is>
      </c>
    </row>
    <row r="7" ht="54.75" customHeight="1" s="78">
      <c r="A7" s="50" t="inlineStr">
        <is>
          <t>P6</t>
        </is>
      </c>
      <c r="B7" s="50" t="inlineStr">
        <is>
          <t>En Progreso</t>
        </is>
      </c>
      <c r="C7" s="50" t="inlineStr">
        <is>
          <t>NUBE</t>
        </is>
      </c>
      <c r="D7" s="50" t="inlineStr">
        <is>
          <t>SGC-362</t>
        </is>
      </c>
      <c r="E7" s="50" t="inlineStr">
        <is>
          <t>14.2-SELECCIÓN ABREVIADA - COMPRA CATALOGO ACUERDO MARCO PRECIOS</t>
        </is>
      </c>
      <c r="F7" s="50" t="inlineStr">
        <is>
          <t>PRESTAR SERVICIO DE NUBE PARA LA SECRETARIA DISTRITAL DE MOVILIDAD</t>
        </is>
      </c>
      <c r="G7" s="50" t="n">
        <v>6</v>
      </c>
      <c r="H7" s="50" t="inlineStr">
        <is>
          <t>51. NUBE - ORDENADOR DEL GASTO: CORPORATIVA</t>
        </is>
      </c>
      <c r="I7" s="50" t="n">
        <v>838757028</v>
      </c>
      <c r="J7" s="51" t="n">
        <v>46217</v>
      </c>
      <c r="K7" s="50" t="n">
        <v>104</v>
      </c>
      <c r="L7" s="52" t="n">
        <v>46228</v>
      </c>
      <c r="M7" s="50" t="n">
        <v>112</v>
      </c>
      <c r="N7" s="52" t="n">
        <v>46248</v>
      </c>
      <c r="O7" s="50" t="n">
        <v>127</v>
      </c>
      <c r="P7" s="52" t="n">
        <v>46318</v>
      </c>
      <c r="Q7" s="50" t="inlineStr">
        <is>
          <t xml:space="preserve">Jonathan Pernet </t>
        </is>
      </c>
      <c r="R7" s="50" t="inlineStr">
        <is>
          <t xml:space="preserve">Gabriela Delgado </t>
        </is>
      </c>
      <c r="S7" s="50" t="inlineStr">
        <is>
          <t>N.A.</t>
        </is>
      </c>
      <c r="T7" s="50" t="inlineStr">
        <is>
          <t>Adriana Villamizar</t>
        </is>
      </c>
      <c r="U7" s="50" t="inlineStr">
        <is>
          <t>Jonathan Pernet</t>
        </is>
      </c>
    </row>
    <row r="8" ht="15" customHeight="1" s="78">
      <c r="A8" s="50" t="inlineStr">
        <is>
          <t>P7</t>
        </is>
      </c>
      <c r="B8" s="50" t="inlineStr">
        <is>
          <t>En Progreso</t>
        </is>
      </c>
      <c r="C8" s="50" t="inlineStr">
        <is>
          <t>IMPRESIÓN ETIQUETAS</t>
        </is>
      </c>
      <c r="D8" s="50" t="inlineStr">
        <is>
          <t>SGC-365</t>
        </is>
      </c>
      <c r="E8" s="50" t="inlineStr">
        <is>
          <t>13.2-PROCESO MINIMA CUANTIA - ADQUISICION GRANDES SUPERFICIES</t>
        </is>
      </c>
      <c r="F8" s="50" t="inlineStr">
        <is>
          <t>REALIZAR LA RENOVACION DEL SOPORTE DE LA LICENCIA DEL SOFTWARE DE IMPRESION DE ETIQUETAS PARA LA SECRETARIA DISTRITAL DE MOVILIDAD</t>
        </is>
      </c>
      <c r="G8" s="50" t="n">
        <v>2</v>
      </c>
      <c r="H8" s="50" t="inlineStr">
        <is>
          <t>PROCESO ÚNICO: RENOVACIÓN IMPRESIÓN ETIQUETAS</t>
        </is>
      </c>
      <c r="I8" s="50" t="n">
        <v>3276000</v>
      </c>
      <c r="J8" s="51" t="n">
        <v>46211</v>
      </c>
      <c r="K8" s="50" t="n">
        <v>100</v>
      </c>
      <c r="L8" s="52" t="n">
        <v>46224</v>
      </c>
      <c r="M8" s="50" t="n">
        <v>109</v>
      </c>
      <c r="N8" s="52" t="n">
        <v>46244</v>
      </c>
      <c r="O8" s="50" t="n">
        <v>123</v>
      </c>
      <c r="P8" s="52" t="n">
        <v>46303</v>
      </c>
      <c r="Q8" s="50" t="inlineStr">
        <is>
          <t>Miguel Barrera</t>
        </is>
      </c>
      <c r="R8" s="50" t="inlineStr">
        <is>
          <t xml:space="preserve">Gabriela Delgado </t>
        </is>
      </c>
      <c r="S8" s="50" t="inlineStr">
        <is>
          <t>N.A.</t>
        </is>
      </c>
      <c r="T8" s="50" t="inlineStr">
        <is>
          <t>Miguel Barrera</t>
        </is>
      </c>
      <c r="U8" s="50" t="inlineStr">
        <is>
          <t>N.A.</t>
        </is>
      </c>
    </row>
    <row r="9" ht="27.75" customHeight="1" s="78">
      <c r="A9" s="50" t="inlineStr">
        <is>
          <t>P8</t>
        </is>
      </c>
      <c r="B9" s="50" t="inlineStr">
        <is>
          <t>En Progreso</t>
        </is>
      </c>
      <c r="C9" s="50" t="inlineStr">
        <is>
          <t xml:space="preserve">ARQUITECTURA EMPRESARIAL </t>
        </is>
      </c>
      <c r="D9" s="50" t="inlineStr">
        <is>
          <t>SGC-366</t>
        </is>
      </c>
      <c r="E9" s="50" t="inlineStr">
        <is>
          <t>200-LICITACIÓN PÚBLICA</t>
        </is>
      </c>
      <c r="F9" s="50" t="inlineStr">
        <is>
          <t>PRESTAR LOS SERVICIOS PARA INCORPORAR DESARROLLAR E IMPLEMENTAR LA ARQUITECTURA EMPRESARIAL SIGUIENDO EL MODELO DE REFERENCIA DEL MINISTERIO DE TECNOLOGIAS DE LA INFORMACION Y LAS COMUNICACIONES Y APLICAR LA ESTRATEGIA DE GOBIERNO Y OPERACION EN LA SECRETARIA DISTRITAL DE MOVILIDAD</t>
        </is>
      </c>
      <c r="G9" s="50" t="n">
        <v>9</v>
      </c>
      <c r="H9" s="50" t="inlineStr">
        <is>
          <t>PROCESO ÚNICO - ARQUITECTURA EMPRESARIAL</t>
        </is>
      </c>
      <c r="I9" s="50" t="n">
        <v>2204000000</v>
      </c>
      <c r="J9" s="51" t="n">
        <v>46035</v>
      </c>
      <c r="K9" s="50" t="n">
        <v>-28</v>
      </c>
      <c r="L9" s="52" t="n">
        <v>46046</v>
      </c>
      <c r="M9" s="50" t="n">
        <v>-19</v>
      </c>
      <c r="N9" s="52" t="n">
        <v>46066</v>
      </c>
      <c r="O9" s="50" t="n">
        <v>-5</v>
      </c>
      <c r="P9" s="52" t="n">
        <v>46199</v>
      </c>
      <c r="Q9" s="50" t="inlineStr">
        <is>
          <t>Adriana Villamizar
Jorge Neira</t>
        </is>
      </c>
      <c r="R9" s="50" t="inlineStr">
        <is>
          <t xml:space="preserve">Gabriela Delgado </t>
        </is>
      </c>
      <c r="S9" s="50" t="inlineStr">
        <is>
          <t>Ernesto Guevara
Jose Rene Gonzales
Jorge Luis Vargas
Yecid Rodriguez</t>
        </is>
      </c>
      <c r="T9" s="50" t="inlineStr">
        <is>
          <t>Adriana Villamizar</t>
        </is>
      </c>
      <c r="U9" s="50" t="inlineStr">
        <is>
          <t>Jorge Neira</t>
        </is>
      </c>
    </row>
    <row r="10" ht="15" customHeight="1" s="78">
      <c r="A10" s="50" t="inlineStr">
        <is>
          <t>P9</t>
        </is>
      </c>
      <c r="B10" s="50" t="inlineStr">
        <is>
          <t>En Progreso</t>
        </is>
      </c>
      <c r="C10" s="50" t="inlineStr">
        <is>
          <t>LICENCIAS MICROSOFT</t>
        </is>
      </c>
      <c r="D10" s="50" t="inlineStr">
        <is>
          <t>SGC-367</t>
        </is>
      </c>
      <c r="E10" s="50" t="inlineStr">
        <is>
          <t xml:space="preserve">14.2-SELECCIÓN ABREVIADA - COMPRA CATALOGO ACUERDO MARCO PRECIOS </t>
        </is>
      </c>
      <c r="F10" s="50" t="inlineStr">
        <is>
          <t>ADQUISICION Y RENOVACION DE LICENCIAS DE PRODUCTOS MICROSOFT PARA LA SECRETARIA DISTRITAL DE MOVILIDAD</t>
        </is>
      </c>
      <c r="G10" s="50" t="n">
        <v>3</v>
      </c>
      <c r="H10" s="50" t="inlineStr">
        <is>
          <t>PROCESO ÚNICO: LICENCIAS MICROSOFT</t>
        </is>
      </c>
      <c r="I10" s="50" t="n">
        <v>350000000</v>
      </c>
      <c r="J10" s="51" t="n">
        <v>46057</v>
      </c>
      <c r="K10" s="50" t="n">
        <v>-12</v>
      </c>
      <c r="L10" s="52" t="n">
        <v>46070</v>
      </c>
      <c r="M10" s="50" t="n">
        <v>-3</v>
      </c>
      <c r="N10" s="52" t="n">
        <v>46090</v>
      </c>
      <c r="O10" s="50" t="n">
        <v>13</v>
      </c>
      <c r="P10" s="52" t="n">
        <v>46160</v>
      </c>
      <c r="Q10" s="50" t="inlineStr">
        <is>
          <t>Javier Pineda</t>
        </is>
      </c>
      <c r="R10" s="50" t="inlineStr">
        <is>
          <t xml:space="preserve">Gabriela Delgado </t>
        </is>
      </c>
      <c r="S10" s="50" t="inlineStr">
        <is>
          <t>N.A.</t>
        </is>
      </c>
      <c r="T10" s="50" t="inlineStr">
        <is>
          <t>Javier Pineda</t>
        </is>
      </c>
      <c r="U10" s="50" t="inlineStr">
        <is>
          <t>Jonathan Pernet</t>
        </is>
      </c>
    </row>
    <row r="11" ht="15" customHeight="1" s="78">
      <c r="A11" s="50" t="inlineStr">
        <is>
          <t>P10</t>
        </is>
      </c>
      <c r="B11" s="50" t="inlineStr">
        <is>
          <t>En Progreso</t>
        </is>
      </c>
      <c r="C11" s="50" t="inlineStr">
        <is>
          <t>ANTIVIRUS Y XDR</t>
        </is>
      </c>
      <c r="D11" s="50" t="inlineStr">
        <is>
          <t>SGC-368</t>
        </is>
      </c>
      <c r="E11" s="50" t="inlineStr">
        <is>
          <t>7-SELECCIÓN ABREVIADA - SUBASTA INVERSA</t>
        </is>
      </c>
      <c r="F11" s="50" t="inlineStr">
        <is>
          <t>RENOVACIÓN DE LA SUSCRIPCION DEL LICENCIAMIENTO DE HERRAMIENTA ANTIVIRUS Y XDR PARA LA SECRETARIA DISTRITAL DE MOVILIDAD</t>
        </is>
      </c>
      <c r="G11" s="50" t="n">
        <v>2</v>
      </c>
      <c r="H11" s="50" t="inlineStr">
        <is>
          <t>PROCESO ÚNICO: ANTIVIRUS</t>
        </is>
      </c>
      <c r="I11" s="50" t="n">
        <v>550512000</v>
      </c>
      <c r="J11" s="51" t="n">
        <v>46155</v>
      </c>
      <c r="K11" s="50" t="n">
        <v>60</v>
      </c>
      <c r="L11" s="52" t="n">
        <v>46168</v>
      </c>
      <c r="M11" s="50" t="n">
        <v>69</v>
      </c>
      <c r="N11" s="52" t="n">
        <v>46188</v>
      </c>
      <c r="O11" s="50" t="n">
        <v>83</v>
      </c>
      <c r="P11" s="52" t="n">
        <v>46286</v>
      </c>
      <c r="Q11" s="50" t="inlineStr">
        <is>
          <t>Jasvleydi Fajado 
Elsa Baracaldo</t>
        </is>
      </c>
      <c r="R11" s="50" t="inlineStr">
        <is>
          <t xml:space="preserve">Gabriela Delgado </t>
        </is>
      </c>
      <c r="S11" s="50" t="inlineStr">
        <is>
          <t>Jhon Fuentes
Yecid Rodriguez</t>
        </is>
      </c>
      <c r="T11" s="50" t="inlineStr">
        <is>
          <t xml:space="preserve">Jasvleydi Fajardo </t>
        </is>
      </c>
      <c r="U11" s="50" t="inlineStr">
        <is>
          <t xml:space="preserve">Liliana Garzon </t>
        </is>
      </c>
    </row>
    <row r="12" ht="15" customHeight="1" s="78">
      <c r="A12" s="50" t="inlineStr">
        <is>
          <t>P11</t>
        </is>
      </c>
      <c r="B12" s="50" t="inlineStr">
        <is>
          <t>En Progreso</t>
        </is>
      </c>
      <c r="C12" s="50" t="inlineStr">
        <is>
          <t>TRANSCAD TRANSMODELER</t>
        </is>
      </c>
      <c r="D12" s="50" t="inlineStr">
        <is>
          <t>SGC-370</t>
        </is>
      </c>
      <c r="E12" s="50" t="inlineStr">
        <is>
          <t>12.7-CONTRATACIÓN DIRECTA-NO EXISTENCIA PLURALIDAD DE OFERENTES</t>
        </is>
      </c>
      <c r="F12" s="50" t="inlineStr">
        <is>
          <t>ADQUIRIR LA RENOVACION DEL SOPORTE Y MANTENIMIENTO DEL LICENCIAMIENTO DE TRANSCAD TRANSMODELER DE PROPIEDAD DE LA SECRETARIA DISTRITAL DE MOVILIDAD</t>
        </is>
      </c>
      <c r="G12" s="50" t="n">
        <v>3</v>
      </c>
      <c r="H12" s="50" t="inlineStr">
        <is>
          <t>PROCESO ÚNICO: TRANSCAD</t>
        </is>
      </c>
      <c r="I12" s="50" t="n">
        <v>206700000</v>
      </c>
      <c r="J12" s="51" t="n">
        <v>46141</v>
      </c>
      <c r="K12" s="50" t="n">
        <v>50</v>
      </c>
      <c r="L12" s="52" t="n">
        <v>46154</v>
      </c>
      <c r="M12" s="50" t="n">
        <v>59</v>
      </c>
      <c r="N12" s="52" t="n">
        <v>46174</v>
      </c>
      <c r="O12" s="50" t="n">
        <v>73</v>
      </c>
      <c r="P12" s="52" t="n">
        <v>46223</v>
      </c>
      <c r="Q12" s="50" t="inlineStr">
        <is>
          <t>Jorge Neira</t>
        </is>
      </c>
      <c r="R12" s="50" t="inlineStr">
        <is>
          <t>Carlos Gonzales</t>
        </is>
      </c>
      <c r="S12" s="50" t="inlineStr">
        <is>
          <t>N.A.</t>
        </is>
      </c>
      <c r="T12" s="50" t="inlineStr">
        <is>
          <t xml:space="preserve">Oscar Vargas </t>
        </is>
      </c>
      <c r="U12" s="50" t="inlineStr">
        <is>
          <t>N.A.</t>
        </is>
      </c>
    </row>
    <row r="13" ht="15" customHeight="1" s="78">
      <c r="A13" s="50" t="inlineStr">
        <is>
          <t>P12</t>
        </is>
      </c>
      <c r="B13" s="50" t="inlineStr">
        <is>
          <t>En Progreso</t>
        </is>
      </c>
      <c r="C13" s="50" t="inlineStr">
        <is>
          <t>EMME DYBAMEQ</t>
        </is>
      </c>
      <c r="D13" s="50" t="inlineStr">
        <is>
          <t>SGC-371</t>
        </is>
      </c>
      <c r="E13" s="50" t="inlineStr">
        <is>
          <t>12.7-CONTRATACIÓN DIRECTA-NO EXISTENCIA PLURALIDAD DE OFERENTES</t>
        </is>
      </c>
      <c r="F13" s="50" t="inlineStr">
        <is>
          <t>ADQUIRIR LA RENOVACION DEL SOPORTE Y MANTENIMIENTO DEL LICENCIAMIENTO DE EMME DYNAMEQ DE PROPIEDAD DE LA SECRETARIA DISTRITAL DE MOVILIDAD</t>
        </is>
      </c>
      <c r="G13" s="50" t="n">
        <v>3</v>
      </c>
      <c r="H13" s="50" t="inlineStr">
        <is>
          <t>PROCESO ÚNICO: EMME DYNAMEQ</t>
        </is>
      </c>
      <c r="I13" s="50" t="n">
        <v>132918519</v>
      </c>
      <c r="J13" s="51" t="n">
        <v>46141</v>
      </c>
      <c r="K13" s="50" t="n">
        <v>50</v>
      </c>
      <c r="L13" s="52" t="n">
        <v>46154</v>
      </c>
      <c r="M13" s="50" t="n">
        <v>59</v>
      </c>
      <c r="N13" s="52" t="n">
        <v>46174</v>
      </c>
      <c r="O13" s="50" t="n">
        <v>73</v>
      </c>
      <c r="P13" s="52" t="n">
        <v>46223</v>
      </c>
      <c r="Q13" s="50" t="inlineStr">
        <is>
          <t>Jorge Neira</t>
        </is>
      </c>
      <c r="R13" s="50" t="inlineStr">
        <is>
          <t>Carlos Gonzales</t>
        </is>
      </c>
      <c r="S13" s="50" t="inlineStr">
        <is>
          <t>N.A.</t>
        </is>
      </c>
      <c r="T13" s="50" t="inlineStr">
        <is>
          <t xml:space="preserve">Oscar Vargas </t>
        </is>
      </c>
      <c r="U13" s="50" t="inlineStr">
        <is>
          <t>N.A.</t>
        </is>
      </c>
    </row>
    <row r="14" ht="15" customHeight="1" s="78">
      <c r="A14" s="50" t="inlineStr">
        <is>
          <t>P13</t>
        </is>
      </c>
      <c r="B14" s="50" t="inlineStr">
        <is>
          <t>En Progreso</t>
        </is>
      </c>
      <c r="C14" s="50" t="inlineStr">
        <is>
          <t xml:space="preserve">LICENCIAMIENTO ORACLE </t>
        </is>
      </c>
      <c r="D14" s="50" t="inlineStr">
        <is>
          <t>SGC-372</t>
        </is>
      </c>
      <c r="E14" s="50" t="inlineStr">
        <is>
          <t>12.7-CONTRATACIÓN DIRECTA-NO EXISTENCIA PLURALIDAD DE OFERENTES</t>
        </is>
      </c>
      <c r="F14" s="50" t="inlineStr">
        <is>
          <t>ADQUIRIR LA RENOVACION DEL SOPORTE DEL LICENCIAMIENTO ORACLE DE PROPIEDAD DE LA SECRETARIA DISTRITAL DE MOVILIDAD</t>
        </is>
      </c>
      <c r="G14" s="50" t="n">
        <v>3</v>
      </c>
      <c r="H14" s="50" t="inlineStr">
        <is>
          <t>PROCESO ÚNICO: SOFTWARE-LICENCIAMIENTO ORACLE</t>
        </is>
      </c>
      <c r="I14" s="50" t="n">
        <v>1203571000</v>
      </c>
      <c r="J14" s="51" t="n">
        <v>46115</v>
      </c>
      <c r="K14" s="50" t="n">
        <v>32</v>
      </c>
      <c r="L14" s="52" t="n">
        <v>46128</v>
      </c>
      <c r="M14" s="50" t="n">
        <v>41</v>
      </c>
      <c r="N14" s="52" t="n">
        <v>46148</v>
      </c>
      <c r="O14" s="50" t="n">
        <v>55</v>
      </c>
      <c r="P14" s="52" t="n">
        <v>46197</v>
      </c>
      <c r="Q14" s="50" t="inlineStr">
        <is>
          <t>Miguel Barrera</t>
        </is>
      </c>
      <c r="R14" s="50" t="inlineStr">
        <is>
          <t xml:space="preserve">Gabriela Delgado </t>
        </is>
      </c>
      <c r="S14" s="50" t="n"/>
      <c r="T14" s="50" t="inlineStr">
        <is>
          <t>Miguel Barrera</t>
        </is>
      </c>
      <c r="U14" s="50" t="n"/>
    </row>
    <row r="15" ht="15" customHeight="1" s="78">
      <c r="A15" s="50" t="inlineStr">
        <is>
          <t>P14</t>
        </is>
      </c>
      <c r="B15" s="50" t="inlineStr">
        <is>
          <t>En Progreso</t>
        </is>
      </c>
      <c r="C15" s="50" t="inlineStr">
        <is>
          <t>ARCGIS</t>
        </is>
      </c>
      <c r="D15" s="50" t="inlineStr">
        <is>
          <t>SGC-373</t>
        </is>
      </c>
      <c r="E15" s="50" t="inlineStr">
        <is>
          <t>14.2-SELECCIÓN ABREVIADA - COMPRA CATALOGO ACUERDO MARCO PRECIOS</t>
        </is>
      </c>
      <c r="F15" s="50" t="inlineStr">
        <is>
          <t>RENOVACION DEL SOFTWARE ESPECIALIZADO PARA SISTEMAS DE INFORMACION GEOGRAFICA ARCGIS BAJO LA MODALIDAD DE ACUERDO DE LICENCIAMIENTO CORPORATIVO ELA</t>
        </is>
      </c>
      <c r="G15" s="50" t="n">
        <v>3</v>
      </c>
      <c r="H15" s="50" t="inlineStr">
        <is>
          <t>PROCESO ÚNICO: SOFTWARE-RENOVACIÓN ARCGIS</t>
        </is>
      </c>
      <c r="I15" s="50" t="n">
        <v>2112450000</v>
      </c>
      <c r="J15" s="51" t="n">
        <v>46162</v>
      </c>
      <c r="K15" s="50" t="n">
        <v>65</v>
      </c>
      <c r="L15" s="52" t="n">
        <v>46175</v>
      </c>
      <c r="M15" s="50" t="n">
        <v>74</v>
      </c>
      <c r="N15" s="52" t="n">
        <v>46195</v>
      </c>
      <c r="O15" s="50" t="n">
        <v>88</v>
      </c>
      <c r="P15" s="52" t="n">
        <v>46265</v>
      </c>
      <c r="Q15" s="50" t="inlineStr">
        <is>
          <t>Dora Estrada</t>
        </is>
      </c>
      <c r="R15" s="50" t="inlineStr">
        <is>
          <t xml:space="preserve">Gabriela Delgado </t>
        </is>
      </c>
      <c r="S15" s="50" t="inlineStr">
        <is>
          <t>N.A.</t>
        </is>
      </c>
      <c r="T15" s="50" t="inlineStr">
        <is>
          <t>Dora Estrada</t>
        </is>
      </c>
      <c r="U15" s="50" t="inlineStr">
        <is>
          <t>Ernesto Guevara</t>
        </is>
      </c>
    </row>
    <row r="16" ht="15" customHeight="1" s="78">
      <c r="A16" s="50" t="inlineStr">
        <is>
          <t>P15</t>
        </is>
      </c>
      <c r="B16" s="50" t="inlineStr">
        <is>
          <t>En Progreso</t>
        </is>
      </c>
      <c r="C16" s="50" t="inlineStr">
        <is>
          <t>LICENCIAMIENTO ORACLE LINUX</t>
        </is>
      </c>
      <c r="D16" s="50" t="inlineStr">
        <is>
          <t>SGC-374</t>
        </is>
      </c>
      <c r="E16" s="50" t="inlineStr">
        <is>
          <t>13.1-PROCESO MÍNIMA CUANTÍA</t>
        </is>
      </c>
      <c r="F16" s="50" t="inlineStr">
        <is>
          <t>SUSCRIPCION DEL SERVICIO DE SOPORTE Y MANTENIMIENTO DEL LICENCIAMIENTO ORACLE LINUX VIRTUALIZATION MANAGER DE PROPIEDAD DE LA SDM</t>
        </is>
      </c>
      <c r="G16" s="50" t="n">
        <v>12</v>
      </c>
      <c r="H16" s="50" t="inlineStr">
        <is>
          <t>PROCESO ÚNICO: ORACLE LINUX</t>
        </is>
      </c>
      <c r="I16" s="50" t="n">
        <v>34781000</v>
      </c>
      <c r="J16" s="51" t="n">
        <v>46204</v>
      </c>
      <c r="K16" s="50" t="n">
        <v>95</v>
      </c>
      <c r="L16" s="52" t="n">
        <v>46217</v>
      </c>
      <c r="M16" s="50" t="n">
        <v>104</v>
      </c>
      <c r="N16" s="52" t="n">
        <v>46237</v>
      </c>
      <c r="O16" s="50" t="n">
        <v>118</v>
      </c>
      <c r="P16" s="52" t="n">
        <v>46293</v>
      </c>
      <c r="Q16" s="50" t="inlineStr">
        <is>
          <t>Miguel Barrera</t>
        </is>
      </c>
      <c r="R16" s="50" t="inlineStr">
        <is>
          <t>Carlos Gonzales</t>
        </is>
      </c>
      <c r="S16" s="50" t="inlineStr">
        <is>
          <t>Oscar Correa</t>
        </is>
      </c>
      <c r="T16" s="50" t="inlineStr">
        <is>
          <t>Miguel Barrera</t>
        </is>
      </c>
      <c r="U16" s="50" t="n"/>
    </row>
    <row r="17" ht="15" customHeight="1" s="78">
      <c r="A17" s="50" t="inlineStr">
        <is>
          <t>P16</t>
        </is>
      </c>
      <c r="B17" s="50" t="inlineStr">
        <is>
          <t>En Progreso</t>
        </is>
      </c>
      <c r="C17" s="50" t="inlineStr">
        <is>
          <t>LICENCIACION ADOBE ACROBAT</t>
        </is>
      </c>
      <c r="D17" s="50" t="inlineStr">
        <is>
          <t>SGC-375</t>
        </is>
      </c>
      <c r="E17" s="50" t="inlineStr">
        <is>
          <t>13.2-PROCESO MINIMA CUANTIA - ADQUISICION GRANDES SUPERFICIES</t>
        </is>
      </c>
      <c r="F17" s="50" t="inlineStr">
        <is>
          <t>RENOVACION DEL LICENCIAMIENTO POR SUSCRIPCION DE ADOBE ACROBAT PRO ADOBE CREATIVE CLOUD Y MICROSOFT POWER BI PARA LA SECRETARIA DISTRITAL DE MOVILIDAD</t>
        </is>
      </c>
      <c r="G17" s="50" t="n">
        <v>3</v>
      </c>
      <c r="H17" s="50" t="inlineStr">
        <is>
          <t>PROCESO ÚNICO: SOFTWARE AUDIOVISUALES</t>
        </is>
      </c>
      <c r="I17" s="50" t="n">
        <v>120000000</v>
      </c>
      <c r="J17" s="51" t="n">
        <v>46294</v>
      </c>
      <c r="K17" s="50" t="n">
        <v>159</v>
      </c>
      <c r="L17" s="52" t="n">
        <v>46305</v>
      </c>
      <c r="M17" s="50" t="n">
        <v>167</v>
      </c>
      <c r="N17" s="52" t="n">
        <v>46325</v>
      </c>
      <c r="O17" s="50" t="n">
        <v>182</v>
      </c>
      <c r="P17" s="52" t="n">
        <v>46384</v>
      </c>
      <c r="Q17" s="50" t="inlineStr">
        <is>
          <t>Mayerly Benavides</t>
        </is>
      </c>
      <c r="R17" s="50" t="inlineStr">
        <is>
          <t xml:space="preserve">Gabriela Delgado </t>
        </is>
      </c>
      <c r="S17" s="50" t="n"/>
      <c r="T17" s="50" t="inlineStr">
        <is>
          <t>Mayerly Benavides</t>
        </is>
      </c>
      <c r="U17" s="50" t="n"/>
    </row>
    <row r="18" ht="27.75" customHeight="1" s="78">
      <c r="A18" s="50" t="inlineStr">
        <is>
          <t>P17</t>
        </is>
      </c>
      <c r="B18" s="50" t="inlineStr">
        <is>
          <t>En Progreso</t>
        </is>
      </c>
      <c r="C18" s="50" t="inlineStr">
        <is>
          <t xml:space="preserve">LENOVO XCLARITY PRO </t>
        </is>
      </c>
      <c r="D18" s="50" t="inlineStr">
        <is>
          <t>SGC-377</t>
        </is>
      </c>
      <c r="E18" s="50" t="inlineStr">
        <is>
          <t>13.1-PROCESO MÍNIMA CUANTÍA</t>
        </is>
      </c>
      <c r="F18" s="50" t="inlineStr">
        <is>
          <t>SUSCRIPCION Y SOPORTE DE FABRICA DEL SOFTWARE LENOVO XCLARITY PRO PARA LA SECRETARIA DISTRITAL DE MOVILIDAD</t>
        </is>
      </c>
      <c r="G18" s="50" t="n">
        <v>3</v>
      </c>
      <c r="H18" s="50" t="inlineStr">
        <is>
          <t>PROCESO ÚNICO: LENOVO XCLARITY</t>
        </is>
      </c>
      <c r="I18" s="50" t="n">
        <v>10315000</v>
      </c>
      <c r="J18" s="51" t="n">
        <v>46114</v>
      </c>
      <c r="K18" s="50" t="n">
        <v>31</v>
      </c>
      <c r="L18" s="52" t="n">
        <v>46127</v>
      </c>
      <c r="M18" s="50" t="n">
        <v>40</v>
      </c>
      <c r="N18" s="52" t="n">
        <v>46147</v>
      </c>
      <c r="O18" s="50" t="n">
        <v>54</v>
      </c>
      <c r="P18" s="52" t="n">
        <v>46203</v>
      </c>
      <c r="Q18" s="50" t="inlineStr">
        <is>
          <t>Yecid Rodriguez</t>
        </is>
      </c>
      <c r="R18" s="50" t="inlineStr">
        <is>
          <t>Carlos Gonzales</t>
        </is>
      </c>
      <c r="S18" s="50" t="inlineStr">
        <is>
          <t>Jose Rene Gonzales</t>
        </is>
      </c>
      <c r="T18" s="50" t="inlineStr">
        <is>
          <t xml:space="preserve">Edgar Romero </t>
        </is>
      </c>
      <c r="U18" s="50" t="n"/>
    </row>
    <row r="19" ht="27.75" customHeight="1" s="78">
      <c r="A19" s="50" t="inlineStr">
        <is>
          <t>P18</t>
        </is>
      </c>
      <c r="B19" s="50" t="inlineStr">
        <is>
          <t>En Progreso</t>
        </is>
      </c>
      <c r="C19" s="50" t="inlineStr">
        <is>
          <t xml:space="preserve">NAGIOS </t>
        </is>
      </c>
      <c r="D19" s="50" t="inlineStr">
        <is>
          <t>SGC-378</t>
        </is>
      </c>
      <c r="E19" s="50" t="inlineStr">
        <is>
          <t>13.1-PROCESO MÍNIMA CUANTÍA</t>
        </is>
      </c>
      <c r="F19" s="50" t="inlineStr">
        <is>
          <t>RENOVACION SOPORTE Y ACTUALIZACION DEL SOFTWARE NAGIOS XI Y NAGIOS NETWORK ANALYZER LA SECRETARIA DISTRITAL DE MOVILIDAD</t>
        </is>
      </c>
      <c r="G19" s="50" t="n">
        <v>4</v>
      </c>
      <c r="H19" s="50" t="inlineStr">
        <is>
          <t>PROCESO ÚNICO: NAGIOS</t>
        </is>
      </c>
      <c r="I19" s="50" t="n">
        <v>116069000</v>
      </c>
      <c r="J19" s="51" t="n">
        <v>46147</v>
      </c>
      <c r="K19" s="50" t="n">
        <v>54</v>
      </c>
      <c r="L19" s="52" t="n">
        <v>46158</v>
      </c>
      <c r="M19" s="50" t="n">
        <v>62</v>
      </c>
      <c r="N19" s="52" t="n">
        <v>46178</v>
      </c>
      <c r="O19" s="50" t="n">
        <v>77</v>
      </c>
      <c r="P19" s="52" t="n">
        <v>46234</v>
      </c>
      <c r="Q19" s="50" t="inlineStr">
        <is>
          <t>Miguel Alvarez</t>
        </is>
      </c>
      <c r="R19" s="50" t="inlineStr">
        <is>
          <t>Carlos Gonzales</t>
        </is>
      </c>
      <c r="S19" s="50" t="inlineStr">
        <is>
          <t>N.A.</t>
        </is>
      </c>
      <c r="T19" s="50" t="inlineStr">
        <is>
          <t>Miguel Barrera</t>
        </is>
      </c>
      <c r="U19" s="50" t="inlineStr">
        <is>
          <t>N.A.</t>
        </is>
      </c>
    </row>
    <row r="20" ht="15" customHeight="1" s="78">
      <c r="A20" s="50" t="inlineStr">
        <is>
          <t>P19</t>
        </is>
      </c>
      <c r="B20" s="50" t="inlineStr">
        <is>
          <t>En Progreso</t>
        </is>
      </c>
      <c r="C20" s="50" t="inlineStr">
        <is>
          <t xml:space="preserve">PALO ALTO </t>
        </is>
      </c>
      <c r="D20" s="50" t="inlineStr">
        <is>
          <t>SGC-379</t>
        </is>
      </c>
      <c r="E20" s="50" t="inlineStr">
        <is>
          <t>7-SELECCIÓN ABREVIADA - SUBASTA INVERSA</t>
        </is>
      </c>
      <c r="F20" s="50" t="inlineStr">
        <is>
          <t>RENOVAR SOPORTE Y GARANTIA DE FABRICA DE LA INFRAESTRUCTURA DE SEGURIDAD DE LA INFORMACION PALOALTO PARA LA SECRETARIA DISTRITAL DE MOVILIDAD</t>
        </is>
      </c>
      <c r="G20" s="50" t="n">
        <v>12</v>
      </c>
      <c r="H20" s="50" t="inlineStr">
        <is>
          <t>PROCESO ÚNICO: PALOALTO</t>
        </is>
      </c>
      <c r="I20" s="50" t="n">
        <v>512244000</v>
      </c>
      <c r="J20" s="51" t="n">
        <v>46094</v>
      </c>
      <c r="K20" s="50" t="n">
        <v>17</v>
      </c>
      <c r="L20" s="52" t="n">
        <v>46107</v>
      </c>
      <c r="M20" s="50" t="n">
        <v>26</v>
      </c>
      <c r="N20" s="52" t="n">
        <v>46127</v>
      </c>
      <c r="O20" s="50" t="n">
        <v>40</v>
      </c>
      <c r="P20" s="52" t="n">
        <v>46225</v>
      </c>
      <c r="Q20" s="50" t="inlineStr">
        <is>
          <t>Jasvleydi Fajardo 
Elsa Baracaldo</t>
        </is>
      </c>
      <c r="R20" s="50" t="inlineStr">
        <is>
          <t xml:space="preserve">Gabriela Delgado </t>
        </is>
      </c>
      <c r="S20" s="50" t="inlineStr">
        <is>
          <t>Jhon Fuentes</t>
        </is>
      </c>
      <c r="T20" s="50" t="inlineStr">
        <is>
          <t xml:space="preserve">Jasvleydi Fajardo </t>
        </is>
      </c>
      <c r="U20" s="50" t="inlineStr">
        <is>
          <t>Elsa Baracaldo</t>
        </is>
      </c>
    </row>
    <row r="21" ht="27.75" customHeight="1" s="78">
      <c r="A21" s="50" t="inlineStr">
        <is>
          <t>P20</t>
        </is>
      </c>
      <c r="B21" s="50" t="inlineStr">
        <is>
          <t>En Progreso</t>
        </is>
      </c>
      <c r="C21" s="50" t="inlineStr">
        <is>
          <t>NETBACKUP
VERITAS</t>
        </is>
      </c>
      <c r="D21" s="50" t="inlineStr">
        <is>
          <t>SGC-380</t>
        </is>
      </c>
      <c r="E21" s="50" t="inlineStr">
        <is>
          <t>304-SELECCIÓN ABREVIADA-MENOR CUANTÍA</t>
        </is>
      </c>
      <c r="F21" s="50" t="inlineStr">
        <is>
          <t>RENOVAR LA SUSCRIPCION DEL LICENCIAMIENTO Y EL SOPORTE DE FABRICA DEL SOFTWARE NETBACKUP Y RENOVAR EL APPLIANCE PARA LA SOLUCION VERITAS COHESITY DE PROPIEDAD DE LA SECRETARIA DISTRITAL DE MOVILIDAD</t>
        </is>
      </c>
      <c r="G21" s="50" t="n">
        <v>3</v>
      </c>
      <c r="H21" s="50" t="inlineStr">
        <is>
          <t>PROCESO ÚNICO: NETBACKUP ENTERPRISE</t>
        </is>
      </c>
      <c r="I21" s="50" t="n">
        <v>934757972</v>
      </c>
      <c r="J21" s="51" t="n">
        <v>46049</v>
      </c>
      <c r="K21" s="50" t="n">
        <v>-18</v>
      </c>
      <c r="L21" s="52" t="n">
        <v>46060</v>
      </c>
      <c r="M21" s="50" t="n">
        <v>-9</v>
      </c>
      <c r="N21" s="52" t="n">
        <v>46080</v>
      </c>
      <c r="O21" s="50" t="n">
        <v>7</v>
      </c>
      <c r="P21" s="52" t="n">
        <v>46171</v>
      </c>
      <c r="Q21" s="50" t="inlineStr">
        <is>
          <t>Oscar Correa</t>
        </is>
      </c>
      <c r="R21" s="50" t="inlineStr">
        <is>
          <t xml:space="preserve">Gabriela Delgado </t>
        </is>
      </c>
      <c r="S21" s="50" t="inlineStr">
        <is>
          <t>Jhon Fuentes
Oscar Bolaños</t>
        </is>
      </c>
      <c r="T21" s="50" t="inlineStr">
        <is>
          <t>Miguel Barrera</t>
        </is>
      </c>
      <c r="U21" s="50" t="n"/>
    </row>
    <row r="22" ht="27.75" customHeight="1" s="78">
      <c r="A22" s="50" t="inlineStr">
        <is>
          <t>P21</t>
        </is>
      </c>
      <c r="B22" s="50" t="inlineStr">
        <is>
          <t>En Progreso</t>
        </is>
      </c>
      <c r="C22" s="50" t="inlineStr">
        <is>
          <t>LICENCIAMIENTO AUTODESK</t>
        </is>
      </c>
      <c r="D22" s="50" t="inlineStr">
        <is>
          <t>SGC-382</t>
        </is>
      </c>
      <c r="E22" s="50" t="inlineStr">
        <is>
          <t>7-SELECCIÓN ABREVIADA - SUBASTA INVERSA</t>
        </is>
      </c>
      <c r="F22" s="50" t="inlineStr">
        <is>
          <t>SUSCRIPCION Y RENOVACION LICENCIAS DE AUTODESK</t>
        </is>
      </c>
      <c r="G22" s="50" t="n">
        <v>3</v>
      </c>
      <c r="H22" s="50" t="inlineStr">
        <is>
          <t>43. AUTODESK - ORDENADOR DE GASTO: CORPORATIVA</t>
        </is>
      </c>
      <c r="I22" s="50" t="n">
        <v>75595000</v>
      </c>
      <c r="J22" s="51" t="n">
        <v>46113</v>
      </c>
      <c r="K22" s="50" t="n">
        <v>30</v>
      </c>
      <c r="L22" s="52" t="n">
        <v>46126</v>
      </c>
      <c r="M22" s="50" t="n">
        <v>39</v>
      </c>
      <c r="N22" s="52" t="n">
        <v>46146</v>
      </c>
      <c r="O22" s="50" t="n">
        <v>53</v>
      </c>
      <c r="P22" s="52" t="n">
        <v>46244</v>
      </c>
      <c r="Q22" s="50" t="inlineStr">
        <is>
          <t>Dora Estrada</t>
        </is>
      </c>
      <c r="R22" s="50" t="inlineStr">
        <is>
          <t>Carlos Gonzales</t>
        </is>
      </c>
      <c r="S22" s="50" t="inlineStr">
        <is>
          <t xml:space="preserve">Ernesto Guevara </t>
        </is>
      </c>
      <c r="T22" s="50" t="inlineStr">
        <is>
          <t>Dora Estrada</t>
        </is>
      </c>
      <c r="U22" s="50" t="inlineStr">
        <is>
          <t>N.A.</t>
        </is>
      </c>
    </row>
    <row r="23" ht="15" customHeight="1" s="78">
      <c r="A23" s="50" t="inlineStr">
        <is>
          <t>P22</t>
        </is>
      </c>
      <c r="B23" s="50" t="inlineStr">
        <is>
          <t>En Progreso</t>
        </is>
      </c>
      <c r="C23" s="50" t="inlineStr">
        <is>
          <t xml:space="preserve">AUDITORIA CONTINUIIDAD DEL NEGOCIO </t>
        </is>
      </c>
      <c r="D23" s="50" t="inlineStr">
        <is>
          <t>SGC-383</t>
        </is>
      </c>
      <c r="E23" s="50" t="inlineStr">
        <is>
          <t>13.1-PROCESO MÍNIMA CUANTÍA</t>
        </is>
      </c>
      <c r="F23" s="50" t="inlineStr">
        <is>
          <t>PRESTAR LOS SERVICIOS PARA REALIZAR LA AUDITORIA DE RECERTIFICACION DE LA CERTIFICACION DEL SISTEMA DE GESTION DE CONTINUIDAD DEL NEGOCIO BAJO LA NORMA ISO 223012019</t>
        </is>
      </c>
      <c r="G23" s="50" t="n">
        <v>2</v>
      </c>
      <c r="H23" s="50" t="inlineStr">
        <is>
          <t>PROCESO ÚNICO: RECERTIFICACIÓN SGCN</t>
        </is>
      </c>
      <c r="I23" s="50" t="n">
        <v>127930000</v>
      </c>
      <c r="J23" s="51" t="n">
        <v>46260</v>
      </c>
      <c r="K23" s="50" t="n">
        <v>135</v>
      </c>
      <c r="L23" s="52" t="n">
        <v>46273</v>
      </c>
      <c r="M23" s="50" t="n">
        <v>144</v>
      </c>
      <c r="N23" s="52" t="n">
        <v>46293</v>
      </c>
      <c r="O23" s="50" t="n">
        <v>158</v>
      </c>
      <c r="P23" s="52" t="n">
        <v>46349</v>
      </c>
      <c r="Q23" s="50" t="inlineStr">
        <is>
          <t>Adriana Villamizar
Sandra Velasquez</t>
        </is>
      </c>
      <c r="R23" s="50" t="inlineStr">
        <is>
          <t xml:space="preserve">Gabriela Delgado </t>
        </is>
      </c>
      <c r="S23" s="50" t="n"/>
      <c r="T23" s="50" t="inlineStr">
        <is>
          <t>Adriana Villamizar</t>
        </is>
      </c>
      <c r="U23" s="50" t="inlineStr">
        <is>
          <t>Roger Alfonso</t>
        </is>
      </c>
    </row>
    <row r="24" ht="15" customHeight="1" s="78">
      <c r="A24" s="50" t="inlineStr">
        <is>
          <t>P23</t>
        </is>
      </c>
      <c r="B24" s="50" t="inlineStr">
        <is>
          <t>En Progreso</t>
        </is>
      </c>
      <c r="C24" s="50" t="inlineStr">
        <is>
          <t xml:space="preserve">AUDITORIA SEGURIDAD DE LA INFORMACION </t>
        </is>
      </c>
      <c r="D24" s="50" t="inlineStr">
        <is>
          <t>SGC-384</t>
        </is>
      </c>
      <c r="E24" s="50" t="inlineStr">
        <is>
          <t>13.1-PROCESO MÍNIMA CUANTÍA</t>
        </is>
      </c>
      <c r="F24" s="50" t="inlineStr">
        <is>
          <t>PRESTAR LOS SERVICIOS PARA REALIZAR LA AUDITORIA DE RECERTIFICACION DEL SISTEMA DE GESTION DE SEGURIDAD DE LA INFORMACION SGSI BAJO LA NORMA ISO/IEC 270012022</t>
        </is>
      </c>
      <c r="G24" s="50" t="n">
        <v>2</v>
      </c>
      <c r="H24" s="50" t="inlineStr">
        <is>
          <t>PROCESO ÚNICO: RECERTIFICACIÓN SGSI</t>
        </is>
      </c>
      <c r="I24" s="50" t="n">
        <v>31854000</v>
      </c>
      <c r="J24" s="51" t="n">
        <v>46206</v>
      </c>
      <c r="K24" s="50" t="n">
        <v>97</v>
      </c>
      <c r="L24" s="52" t="n">
        <v>46219</v>
      </c>
      <c r="M24" s="50" t="n">
        <v>106</v>
      </c>
      <c r="N24" s="52" t="n">
        <v>46239</v>
      </c>
      <c r="O24" s="50" t="n">
        <v>120</v>
      </c>
      <c r="P24" s="52" t="n">
        <v>46295</v>
      </c>
      <c r="Q24" s="50" t="inlineStr">
        <is>
          <t>Jasvleydi Fajardo  
Jorge Vargas</t>
        </is>
      </c>
      <c r="R24" s="50" t="inlineStr">
        <is>
          <t>Carlos Gonzales</t>
        </is>
      </c>
      <c r="S24" s="50" t="n"/>
      <c r="T24" s="50" t="inlineStr">
        <is>
          <t xml:space="preserve">Jasvleydi Fajardo  </t>
        </is>
      </c>
      <c r="U24" s="50" t="inlineStr">
        <is>
          <t>Elsa Baracaldo</t>
        </is>
      </c>
    </row>
    <row r="25" ht="41.25" customHeight="1" s="78">
      <c r="A25" s="50" t="inlineStr">
        <is>
          <t>P24</t>
        </is>
      </c>
      <c r="B25" s="50" t="inlineStr">
        <is>
          <t>En Progreso</t>
        </is>
      </c>
      <c r="C25" s="50" t="inlineStr">
        <is>
          <t>ETAPA 2 SOLUCIONES PLATAFORMA TECNOLOGICA</t>
        </is>
      </c>
      <c r="D25" s="50" t="inlineStr">
        <is>
          <t>SGC-385</t>
        </is>
      </c>
      <c r="E25" s="50" t="inlineStr">
        <is>
          <t>200-LICITACIÓN PÚBLICA</t>
        </is>
      </c>
      <c r="F25" s="50" t="inlineStr">
        <is>
          <t>ETAPA 2 ADQUIRIR IMPLEMENTAR ACTUALIZAR Y SOPORTAR SOLUCIONES DE TECNOLOGIA Y SERVICIOS PARA CONTINUAR EL PROCESO DE RENOVACION DE LA PLATAFORMA TECNOLOGICA DE LA SECRETARIA DISTRITAL DE MOVILIDAD</t>
        </is>
      </c>
      <c r="G25" s="50" t="n">
        <v>6</v>
      </c>
      <c r="H25" s="50" t="inlineStr">
        <is>
          <t>PROCESO ÚNICO: ADQUISICIÓN EQUIPOS</t>
        </is>
      </c>
      <c r="I25" s="50" t="n">
        <v>263591008</v>
      </c>
      <c r="J25" s="51" t="n">
        <v>46191</v>
      </c>
      <c r="K25" s="50" t="n">
        <v>86</v>
      </c>
      <c r="L25" s="52" t="n">
        <v>46204</v>
      </c>
      <c r="M25" s="50" t="n">
        <v>95</v>
      </c>
      <c r="N25" s="52" t="n">
        <v>46224</v>
      </c>
      <c r="O25" s="50" t="n">
        <v>109</v>
      </c>
      <c r="P25" s="52" t="n">
        <v>46357</v>
      </c>
      <c r="Q25" s="50" t="inlineStr">
        <is>
          <t xml:space="preserve">Yecid Rodriguez
Martha Zambrano </t>
        </is>
      </c>
      <c r="R25" s="50" t="inlineStr">
        <is>
          <t xml:space="preserve">Gabriela Delgado </t>
        </is>
      </c>
      <c r="S25" s="50" t="inlineStr">
        <is>
          <t>Miguel Alvarez
Oscar Correa</t>
        </is>
      </c>
      <c r="T25" s="50" t="n"/>
      <c r="U25" s="50" t="n"/>
    </row>
    <row r="26" ht="15" customHeight="1" s="78">
      <c r="A26" s="50" t="inlineStr">
        <is>
          <t>P25</t>
        </is>
      </c>
      <c r="B26" s="50" t="inlineStr">
        <is>
          <t>RADICADO A DC</t>
        </is>
      </c>
      <c r="C26" s="50" t="inlineStr">
        <is>
          <t>(DEJAR EN CEROS)</t>
        </is>
      </c>
      <c r="D26" s="50" t="inlineStr">
        <is>
          <t>SGC-386</t>
        </is>
      </c>
      <c r="E26" s="50" t="inlineStr">
        <is>
          <t xml:space="preserve">14.2-SELECCIÓN ABREVIADA - COMPRA CATALOGO ACUERDO MARCO PRECIOS </t>
        </is>
      </c>
      <c r="F26" s="50" t="inlineStr">
        <is>
          <t>ADQUIRIR LA RENOVACION DE LA SUSCRIPCION DE SOPORTE INFORMIX PARA LA SECRETARIA DISTRITAL DE MOVILIDAD</t>
        </is>
      </c>
      <c r="G26" s="50" t="n">
        <v>2</v>
      </c>
      <c r="H26" s="50" t="inlineStr">
        <is>
          <t>PROCESO ÚNICO: INFORMIX</t>
        </is>
      </c>
      <c r="I26" s="50" t="n">
        <v>266468000</v>
      </c>
      <c r="J26" s="51" t="n">
        <v>46063</v>
      </c>
      <c r="K26" s="50" t="n">
        <v>-8</v>
      </c>
      <c r="L26" s="52" t="n">
        <v>46074</v>
      </c>
      <c r="M26" s="50" t="n">
        <v>2</v>
      </c>
      <c r="N26" s="52" t="n">
        <v>46094</v>
      </c>
      <c r="O26" s="50" t="n">
        <v>17</v>
      </c>
      <c r="P26" s="52" t="n">
        <v>46164</v>
      </c>
      <c r="Q26" s="50" t="inlineStr">
        <is>
          <t>Jorge Neira</t>
        </is>
      </c>
      <c r="R26" s="50" t="inlineStr">
        <is>
          <t>Carlos Gonzales</t>
        </is>
      </c>
      <c r="S26" s="50" t="inlineStr">
        <is>
          <t>N.A.</t>
        </is>
      </c>
      <c r="T26" s="50" t="inlineStr">
        <is>
          <t>Miguel Barrera</t>
        </is>
      </c>
      <c r="U26" s="50" t="inlineStr">
        <is>
          <t>N.A.</t>
        </is>
      </c>
    </row>
    <row r="27" ht="15" customHeight="1" s="78">
      <c r="A27" s="50" t="inlineStr">
        <is>
          <t>P26</t>
        </is>
      </c>
      <c r="B27" s="50" t="inlineStr">
        <is>
          <t>En Progreso</t>
        </is>
      </c>
      <c r="C27" s="50" t="inlineStr">
        <is>
          <t>WAF</t>
        </is>
      </c>
      <c r="D27" s="50" t="inlineStr">
        <is>
          <t>SGC-387</t>
        </is>
      </c>
      <c r="E27" s="50" t="inlineStr">
        <is>
          <t>7-SELECCIÓN ABREVIADA - SUBASTA INVERSA</t>
        </is>
      </c>
      <c r="F27" s="50" t="inlineStr">
        <is>
          <t>PRESTAR EL SERVICIO DE WAF EN NUBE Y SOPORTE TECNICO PARA PROTECCION DE LAS APLICACIONES WEB DE LA SECRETARIA DISTRITAL DE MOVILIDAD</t>
        </is>
      </c>
      <c r="G27" s="50" t="n">
        <v>12</v>
      </c>
      <c r="H27" s="50" t="inlineStr">
        <is>
          <t>PROCESO ÚNICO: SERVICIO WAF</t>
        </is>
      </c>
      <c r="I27" s="50" t="n">
        <v>732365000</v>
      </c>
      <c r="J27" s="51" t="n">
        <v>46142</v>
      </c>
      <c r="K27" s="50" t="n">
        <v>51</v>
      </c>
      <c r="L27" s="52" t="n">
        <v>46155</v>
      </c>
      <c r="M27" s="50" t="n">
        <v>60</v>
      </c>
      <c r="N27" s="52" t="n">
        <v>46175</v>
      </c>
      <c r="O27" s="50" t="n">
        <v>74</v>
      </c>
      <c r="P27" s="52" t="n">
        <v>46273</v>
      </c>
      <c r="Q27" s="50" t="inlineStr">
        <is>
          <t>Jasvleydi Fajardo 
Elsa Baracaldo</t>
        </is>
      </c>
      <c r="R27" s="50" t="inlineStr">
        <is>
          <t xml:space="preserve">Gabriela Delgado </t>
        </is>
      </c>
      <c r="S27" s="50" t="inlineStr">
        <is>
          <t>Ernesto Guevara 
Marisol Caro
Jose Rene Gonzales</t>
        </is>
      </c>
      <c r="T27" s="50" t="inlineStr">
        <is>
          <t xml:space="preserve">Jasvleydi Fajardo </t>
        </is>
      </c>
      <c r="U27" s="50" t="n"/>
    </row>
    <row r="28" ht="27.75" customHeight="1" s="78">
      <c r="A28" s="50" t="inlineStr">
        <is>
          <t>P27</t>
        </is>
      </c>
      <c r="B28" s="50" t="inlineStr">
        <is>
          <t>En Progreso</t>
        </is>
      </c>
      <c r="C28" s="50" t="inlineStr">
        <is>
          <t xml:space="preserve">AUDITORIAS INTERNAS </t>
        </is>
      </c>
      <c r="D28" s="50" t="inlineStr">
        <is>
          <t>SGC-390</t>
        </is>
      </c>
      <c r="E28" s="50" t="inlineStr">
        <is>
          <t>13.1-PROCESO MÍNIMA CUANTÍA</t>
        </is>
      </c>
      <c r="F28" s="50" t="inlineStr">
        <is>
          <t>REALIZAR LAS AUDITORIAS INTERNAS DE LOS DIFERENTES SISTEMAS DE GESTION Y DEL PLAN ESTRATEGICO DE SEGURIDAD VIAL DE LA SECRETARIA DISTRITAL DE MOVILIDAD</t>
        </is>
      </c>
      <c r="G28" s="50" t="n">
        <v>9</v>
      </c>
      <c r="H28" s="50" t="inlineStr">
        <is>
          <t>47. AUDITORÍAS INTERNAS - ORDENADOR DEL GASTO: CORPORATIVA</t>
        </is>
      </c>
      <c r="I28" s="50" t="n">
        <v>49456000</v>
      </c>
      <c r="J28" s="51" t="n">
        <v>46006</v>
      </c>
      <c r="K28" s="50" t="n">
        <v>-49</v>
      </c>
      <c r="L28" s="52" t="n">
        <v>46017</v>
      </c>
      <c r="M28" s="50" t="n">
        <v>-40</v>
      </c>
      <c r="N28" s="52" t="n">
        <v>46037</v>
      </c>
      <c r="O28" s="50" t="n">
        <v>-26</v>
      </c>
      <c r="P28" s="52" t="n">
        <v>46093</v>
      </c>
      <c r="Q28" s="50" t="inlineStr">
        <is>
          <t>Adriana Villamizar</t>
        </is>
      </c>
      <c r="R28" s="50" t="inlineStr">
        <is>
          <t>N.A.</t>
        </is>
      </c>
      <c r="S28" s="50" t="inlineStr">
        <is>
          <t>N.A.</t>
        </is>
      </c>
      <c r="T28" s="50" t="inlineStr">
        <is>
          <t xml:space="preserve">Jasvleydi Fajardo </t>
        </is>
      </c>
      <c r="U28" s="50" t="inlineStr">
        <is>
          <t>N.A.</t>
        </is>
      </c>
    </row>
    <row r="29" ht="27.75" customHeight="1" s="78">
      <c r="A29" s="50" t="inlineStr">
        <is>
          <t>P28</t>
        </is>
      </c>
      <c r="B29" s="50" t="inlineStr">
        <is>
          <t>En Progreso</t>
        </is>
      </c>
      <c r="C29" s="50" t="inlineStr">
        <is>
          <t>SOPORTE PREMIER</t>
        </is>
      </c>
      <c r="D29" s="50" t="inlineStr">
        <is>
          <t>SGC-391</t>
        </is>
      </c>
      <c r="E29" s="50" t="inlineStr">
        <is>
          <t>12.7-CONTRATACIÓN DIRECTA-NO EXISTENCIA PLURALIDAD DE OFERENTES</t>
        </is>
      </c>
      <c r="F29" s="50" t="inlineStr">
        <is>
          <t>CONTRATAR LOS SERVICIOS DE SOPORTE PREMIER BAJO EL MODELO UNIFIED DE MICROSOFT PARA LA SECRETARIA DISTRITAL DE MOVILIDAD</t>
        </is>
      </c>
      <c r="G29" s="50" t="n">
        <v>12</v>
      </c>
      <c r="H29" s="50" t="inlineStr">
        <is>
          <t>PROCESO ÚNICO: SOPORTE PREMIER</t>
        </is>
      </c>
      <c r="I29" s="50" t="n">
        <v>388447481</v>
      </c>
      <c r="J29" s="51" t="n">
        <v>46133</v>
      </c>
      <c r="K29" s="50" t="n">
        <v>44</v>
      </c>
      <c r="L29" s="52" t="n">
        <v>46145</v>
      </c>
      <c r="M29" s="50" t="n">
        <v>52</v>
      </c>
      <c r="N29" s="52" t="n">
        <v>46165</v>
      </c>
      <c r="O29" s="50" t="n">
        <v>67</v>
      </c>
      <c r="P29" s="52" t="n">
        <v>46214</v>
      </c>
      <c r="Q29" s="50" t="inlineStr">
        <is>
          <t xml:space="preserve">Jonathan Pernet </t>
        </is>
      </c>
      <c r="R29" s="50" t="inlineStr">
        <is>
          <t>Carlos Gonzales</t>
        </is>
      </c>
      <c r="S29" s="50" t="inlineStr">
        <is>
          <t>N.A.</t>
        </is>
      </c>
      <c r="T29" s="50" t="inlineStr">
        <is>
          <t xml:space="preserve">Oscar Vargas </t>
        </is>
      </c>
      <c r="U29" s="50" t="inlineStr">
        <is>
          <t>N.A.</t>
        </is>
      </c>
    </row>
    <row r="30" ht="15" customHeight="1" s="78">
      <c r="A30" s="50" t="n"/>
      <c r="B30" s="50" t="n"/>
      <c r="C30" s="50" t="n"/>
      <c r="D30" s="50" t="n"/>
      <c r="E30" s="50" t="n"/>
      <c r="F30" s="50" t="n"/>
      <c r="G30" s="50" t="n"/>
      <c r="H30" s="50" t="n"/>
      <c r="I30" s="50" t="n"/>
      <c r="J30" s="51" t="n"/>
      <c r="K30" s="50" t="n"/>
      <c r="L30" s="50" t="n"/>
      <c r="M30" s="50" t="n"/>
      <c r="N30" s="52" t="n"/>
      <c r="O30" s="50" t="n"/>
      <c r="P30" s="52" t="n"/>
      <c r="Q30" s="50" t="n"/>
      <c r="R30" s="50" t="n"/>
      <c r="S30" s="50" t="n"/>
      <c r="T30" s="50" t="n"/>
      <c r="U30" s="50" t="n"/>
    </row>
    <row r="31">
      <c r="A31" s="50" t="n"/>
      <c r="B31" s="50" t="n"/>
      <c r="C31" s="50" t="n"/>
      <c r="D31" s="50" t="n"/>
      <c r="E31" s="50" t="n"/>
      <c r="F31" s="50" t="n"/>
      <c r="G31" s="50" t="n"/>
      <c r="H31" s="50" t="n"/>
      <c r="I31" s="50" t="n"/>
      <c r="J31" s="53" t="n"/>
      <c r="K31" s="50" t="n"/>
      <c r="L31" s="50" t="n"/>
      <c r="M31" s="50" t="n"/>
      <c r="N31" s="52" t="n"/>
      <c r="O31" s="50" t="n"/>
      <c r="P31" s="52" t="n"/>
      <c r="Q31" s="50" t="n"/>
      <c r="R31" s="50" t="n"/>
      <c r="S31" s="50" t="n"/>
      <c r="T31" s="50" t="n"/>
      <c r="U31" s="50" t="n"/>
    </row>
    <row r="32" ht="15" customHeight="1" s="78">
      <c r="A32" s="50" t="n"/>
      <c r="B32" s="50" t="n"/>
      <c r="C32" s="50" t="n"/>
      <c r="D32" s="50" t="n"/>
      <c r="E32" s="50" t="n"/>
      <c r="F32" s="50" t="n"/>
      <c r="G32" s="50" t="n"/>
      <c r="H32" s="50" t="n"/>
      <c r="I32" s="50" t="n"/>
      <c r="J32" s="52" t="n"/>
      <c r="K32" s="50" t="n"/>
      <c r="L32" s="50" t="n"/>
      <c r="M32" s="50" t="n"/>
      <c r="N32" s="52" t="n"/>
      <c r="O32" s="50" t="n"/>
      <c r="P32" s="52" t="n"/>
      <c r="Q32" s="50" t="n"/>
      <c r="R32" s="50" t="n"/>
      <c r="S32" s="50" t="n"/>
      <c r="T32" s="50" t="n"/>
      <c r="U32" s="50" t="n"/>
    </row>
    <row r="33">
      <c r="A33" s="50" t="n"/>
      <c r="B33" s="50" t="n"/>
      <c r="C33" s="50" t="n"/>
      <c r="D33" s="50" t="n"/>
      <c r="E33" s="50" t="n"/>
      <c r="F33" s="50" t="n"/>
      <c r="G33" s="50" t="n"/>
      <c r="H33" s="50" t="n"/>
      <c r="I33" s="50" t="n"/>
      <c r="J33" s="52" t="n"/>
      <c r="K33" s="50" t="n"/>
      <c r="L33" s="50" t="n"/>
      <c r="M33" s="50" t="n"/>
      <c r="N33" s="52" t="n"/>
      <c r="O33" s="50" t="n"/>
      <c r="P33" s="52" t="n"/>
      <c r="Q33" s="50" t="n"/>
      <c r="R33" s="50" t="n"/>
      <c r="S33" s="50" t="n"/>
      <c r="T33" s="50" t="n"/>
      <c r="U33" s="50" t="n"/>
    </row>
    <row r="34">
      <c r="A34" s="50" t="n"/>
      <c r="B34" s="50" t="n"/>
      <c r="C34" s="50" t="n"/>
      <c r="D34" s="50" t="n"/>
      <c r="E34" s="50" t="n"/>
      <c r="F34" s="50" t="n"/>
      <c r="G34" s="50" t="n"/>
      <c r="H34" s="50" t="n"/>
      <c r="I34" s="50" t="n"/>
      <c r="J34" s="52" t="n"/>
      <c r="K34" s="50" t="n"/>
      <c r="L34" s="50" t="n"/>
      <c r="M34" s="50" t="n"/>
      <c r="N34" s="52" t="n"/>
      <c r="O34" s="50" t="n"/>
      <c r="P34" s="52" t="n"/>
      <c r="Q34" s="50" t="n"/>
      <c r="R34" s="50" t="n"/>
      <c r="S34" s="50" t="n"/>
      <c r="T34" s="50" t="n"/>
      <c r="U34" s="50" t="n"/>
    </row>
    <row r="35">
      <c r="A35" s="50" t="n"/>
      <c r="B35" s="50" t="n"/>
      <c r="C35" s="50" t="n"/>
      <c r="D35" s="50" t="n"/>
      <c r="E35" s="50" t="n"/>
      <c r="F35" s="50" t="n"/>
      <c r="G35" s="50" t="n"/>
      <c r="H35" s="50" t="n"/>
      <c r="I35" s="50" t="n"/>
      <c r="J35" s="52" t="n"/>
      <c r="K35" s="50" t="n"/>
      <c r="L35" s="50" t="n"/>
      <c r="M35" s="50" t="n"/>
      <c r="N35" s="52" t="n"/>
      <c r="O35" s="50" t="n"/>
      <c r="P35" s="52" t="n"/>
      <c r="Q35" s="50" t="n"/>
      <c r="R35" s="50" t="n"/>
      <c r="S35" s="50" t="n"/>
      <c r="T35" s="50" t="n"/>
      <c r="U35" s="50" t="n"/>
    </row>
  </sheetData>
  <autoFilter ref="A1:AC29"/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B1:C241"/>
  <sheetViews>
    <sheetView showGridLines="0" workbookViewId="0">
      <selection activeCell="B4" sqref="B4:C6"/>
    </sheetView>
  </sheetViews>
  <sheetFormatPr baseColWidth="10" defaultColWidth="8.7265625" defaultRowHeight="14.5"/>
  <cols>
    <col width="3" customWidth="1" style="78" min="1" max="1"/>
    <col width="40" customWidth="1" style="78" min="2" max="2"/>
    <col width="70" customWidth="1" style="78" min="3" max="3"/>
  </cols>
  <sheetData>
    <row r="1" ht="45" customHeight="1" s="78">
      <c r="B1" s="90" t="inlineStr">
        <is>
          <t>🚀  EXPORTAR DASHBOARD — Generar datos_otic.json</t>
        </is>
      </c>
    </row>
    <row r="2" ht="22" customHeight="1" s="78">
      <c r="B2" s="89" t="inlineStr">
        <is>
          <t>✅ Macro VBA v2 — columnas actualizadas. Copie el código de abajo al módulo VBA.</t>
        </is>
      </c>
    </row>
    <row r="4" ht="30" customHeight="1" s="78">
      <c r="B4" s="83" t="inlineStr">
        <is>
          <t>▶  EXPORTAR DASHBOARD  (Ejecutar Macro: ExportarDashboard)</t>
        </is>
      </c>
      <c r="C4" s="84" t="n"/>
    </row>
    <row r="5" ht="30" customHeight="1" s="78">
      <c r="B5" s="85" t="n"/>
      <c r="C5" s="86" t="n"/>
    </row>
    <row r="6" ht="30" customHeight="1" s="78">
      <c r="B6" s="87" t="n"/>
      <c r="C6" s="88" t="n"/>
    </row>
    <row r="8">
      <c r="B8" s="82" t="inlineStr">
        <is>
          <t>INSTRUCCIONES PARA AGREGAR EL BOTÓN:</t>
        </is>
      </c>
    </row>
    <row r="9" ht="20" customHeight="1" s="78">
      <c r="B9" s="54" t="inlineStr">
        <is>
          <t>1.</t>
        </is>
      </c>
      <c r="C9" s="55" t="inlineStr">
        <is>
          <t>Guarde este archivo como .xlsm (Excel habilitado para macros)</t>
        </is>
      </c>
    </row>
    <row r="10" ht="20" customHeight="1" s="78">
      <c r="B10" s="54" t="inlineStr">
        <is>
          <t>2.</t>
        </is>
      </c>
      <c r="C10" s="55" t="inlineStr">
        <is>
          <t>Presione Alt+F11 para abrir el Editor VBA</t>
        </is>
      </c>
    </row>
    <row r="11" ht="20" customHeight="1" s="78">
      <c r="B11" s="54" t="inlineStr">
        <is>
          <t>3.</t>
        </is>
      </c>
      <c r="C11" s="55" t="inlineStr">
        <is>
          <t>En el panel izquierdo, haga clic derecho en VBAProject → Insertar → Módulo</t>
        </is>
      </c>
    </row>
    <row r="12" ht="20" customHeight="1" s="78">
      <c r="B12" s="54" t="inlineStr">
        <is>
          <t>4.</t>
        </is>
      </c>
      <c r="C12" s="55" t="inlineStr">
        <is>
          <t>Copie y pegue el código VBA que aparece más abajo en el módulo</t>
        </is>
      </c>
    </row>
    <row r="13" ht="20" customHeight="1" s="78">
      <c r="B13" s="54" t="inlineStr">
        <is>
          <t>5.</t>
        </is>
      </c>
      <c r="C13" s="55" t="inlineStr">
        <is>
          <t>Cierre el editor VBA (Alt+F4 o simplemente cierre la ventana)</t>
        </is>
      </c>
    </row>
    <row r="14" ht="20" customHeight="1" s="78">
      <c r="B14" s="54" t="inlineStr">
        <is>
          <t>6.</t>
        </is>
      </c>
      <c r="C14" s="55" t="inlineStr">
        <is>
          <t>Ahora puede ejecutar la macro desde Desarrollador → Macros → ExportarDashboard</t>
        </is>
      </c>
    </row>
    <row r="15" ht="20" customHeight="1" s="78">
      <c r="B15" s="56" t="n"/>
      <c r="C15" s="57" t="n"/>
    </row>
    <row r="16" ht="20" customHeight="1" s="78">
      <c r="B16" s="54" t="inlineStr">
        <is>
          <t>NOTA:</t>
        </is>
      </c>
      <c r="C16" s="55" t="inlineStr">
        <is>
          <t>El archivo JSON se guardará en la misma carpeta donde está el Excel</t>
        </is>
      </c>
    </row>
    <row r="18" ht="22" customHeight="1" s="78">
      <c r="B18" s="82" t="inlineStr">
        <is>
          <t>CÓDIGO VBA — Copie todo el texto de abajo al Módulo VBA:</t>
        </is>
      </c>
    </row>
    <row r="20" ht="14" customHeight="1" s="78">
      <c r="B20" s="81" t="inlineStr">
        <is>
          <t>'============================================================</t>
        </is>
      </c>
    </row>
    <row r="21" ht="14" customHeight="1" s="78">
      <c r="B21" s="81" t="inlineStr">
        <is>
          <t>' PORTAFOLIO OTIC — Macro de Exportación a JSON v2</t>
        </is>
      </c>
    </row>
    <row r="22" ht="14" customHeight="1" s="78">
      <c r="B22" s="81" t="inlineStr">
        <is>
          <t>' COLUMNAS ACTUALIZADAS (después de eliminar 5 columnas):</t>
        </is>
      </c>
    </row>
    <row r="23" ht="14" customHeight="1" s="78">
      <c r="B23" s="81" t="inlineStr">
        <is>
          <t>'   A(1)=No.  B(2)=Estado  C(3)=Proyecto  D(4)=SGC/PAA</t>
        </is>
      </c>
    </row>
    <row r="24" ht="14" customHeight="1" s="78">
      <c r="B24" s="81" t="inlineStr">
        <is>
          <t>'   E(5)=Modalidad  F(6)=Objeto  G(7)=Plazo  H(8)=Multiproceso</t>
        </is>
      </c>
    </row>
    <row r="25" ht="14" customHeight="1" s="78">
      <c r="B25" s="81" t="inlineStr">
        <is>
          <t>'   I(9)=VALOR (Apropiación Vigente)</t>
        </is>
      </c>
    </row>
    <row r="26" ht="14" customHeight="1" s="78">
      <c r="B26" s="81" t="inlineStr">
        <is>
          <t>'   J(10)=Fecha Entrega Abogado    K(11)=Días Abogado</t>
        </is>
      </c>
    </row>
    <row r="27" ht="14" customHeight="1" s="78">
      <c r="B27" s="81" t="inlineStr">
        <is>
          <t>'   L(12)=Fecha Solicitud Mesa     M(13)=Fecha Mesa Trabajo</t>
        </is>
      </c>
    </row>
    <row r="28" ht="14" customHeight="1" s="78">
      <c r="B28" s="81" t="inlineStr">
        <is>
          <t>'   N(14)=Días Mesa                O(15)=Fecha Rad. Contrat. (ref)</t>
        </is>
      </c>
    </row>
    <row r="29" ht="14" customHeight="1" s="78">
      <c r="B29" s="81" t="inlineStr">
        <is>
          <t>'   P(16)=Fecha Radicación         Q(17)=Días Radicación</t>
        </is>
      </c>
    </row>
    <row r="30" ht="14" customHeight="1" s="78">
      <c r="B30" s="81" t="inlineStr">
        <is>
          <t>'   R(18)=Fecha Adjudicación (ref) S(19)=Fecha Adjudicación</t>
        </is>
      </c>
    </row>
    <row r="31" ht="14" customHeight="1" s="78">
      <c r="B31" s="81" t="inlineStr">
        <is>
          <t>'   T(20)=Estructurador  U(21)=Abogado  V(22)=Evaluadores</t>
        </is>
      </c>
    </row>
    <row r="32" ht="14" customHeight="1" s="78">
      <c r="B32" s="81" t="inlineStr">
        <is>
          <t>'   W(23)=Supervisor     X(24)=Apoyo Supervisión</t>
        </is>
      </c>
    </row>
    <row r="33" ht="14" customHeight="1" s="78">
      <c r="B33" s="81" t="inlineStr">
        <is>
          <t>'============================================================</t>
        </is>
      </c>
    </row>
    <row r="34" ht="14" customHeight="1" s="78">
      <c r="B34" s="81" t="n"/>
    </row>
    <row r="35" ht="14" customHeight="1" s="78">
      <c r="B35" s="81" t="inlineStr">
        <is>
          <t>Sub ExportarDashboard()</t>
        </is>
      </c>
    </row>
    <row r="36" ht="14" customHeight="1" s="78">
      <c r="B36" s="81" t="inlineStr">
        <is>
          <t xml:space="preserve">    Dim ws As Worksheet</t>
        </is>
      </c>
    </row>
    <row r="37" ht="14" customHeight="1" s="78">
      <c r="B37" s="81" t="inlineStr">
        <is>
          <t xml:space="preserve">    Dim wsData As Worksheet</t>
        </is>
      </c>
    </row>
    <row r="38" ht="14" customHeight="1" s="78">
      <c r="B38" s="81" t="inlineStr">
        <is>
          <t xml:space="preserve">    Dim wsTareas As Worksheet</t>
        </is>
      </c>
    </row>
    <row r="39" ht="14" customHeight="1" s="78">
      <c r="B39" s="81" t="inlineStr">
        <is>
          <t xml:space="preserve">    Dim jsonStr As String</t>
        </is>
      </c>
    </row>
    <row r="40" ht="14" customHeight="1" s="78">
      <c r="B40" s="81" t="inlineStr">
        <is>
          <t xml:space="preserve">    Dim filePath As String</t>
        </is>
      </c>
    </row>
    <row r="41" ht="14" customHeight="1" s="78">
      <c r="B41" s="81" t="inlineStr">
        <is>
          <t xml:space="preserve">    Dim i As Integer, j As Integer</t>
        </is>
      </c>
    </row>
    <row r="42" ht="14" customHeight="1" s="78">
      <c r="B42" s="81" t="inlineStr">
        <is>
          <t xml:space="preserve">    Dim lastRow As Long</t>
        </is>
      </c>
    </row>
    <row r="43" ht="14" customHeight="1" s="78">
      <c r="B43" s="81" t="inlineStr">
        <is>
          <t xml:space="preserve">    Dim firstProj As Boolean</t>
        </is>
      </c>
    </row>
    <row r="44" ht="14" customHeight="1" s="78">
      <c r="B44" s="81" t="inlineStr">
        <is>
          <t xml:space="preserve">    </t>
        </is>
      </c>
    </row>
    <row r="45" ht="14" customHeight="1" s="78">
      <c r="B45" s="81" t="inlineStr">
        <is>
          <t xml:space="preserve">    ' Ruta del archivo JSON (misma carpeta que el Excel)</t>
        </is>
      </c>
    </row>
    <row r="46" ht="14" customHeight="1" s="78">
      <c r="B46" s="81" t="inlineStr">
        <is>
          <t xml:space="preserve">    filePath = ThisWorkbook.Path &amp; "\datos_otic.json"</t>
        </is>
      </c>
    </row>
    <row r="47" ht="14" customHeight="1" s="78">
      <c r="B47" s="81" t="inlineStr">
        <is>
          <t xml:space="preserve">    </t>
        </is>
      </c>
    </row>
    <row r="48" ht="14" customHeight="1" s="78">
      <c r="B48" s="81" t="inlineStr">
        <is>
          <t xml:space="preserve">    On Error GoTo ErrorHandler</t>
        </is>
      </c>
    </row>
    <row r="49" ht="14" customHeight="1" s="78">
      <c r="B49" s="81" t="inlineStr">
        <is>
          <t xml:space="preserve">    </t>
        </is>
      </c>
    </row>
    <row r="50" ht="14" customHeight="1" s="78">
      <c r="B50" s="81" t="inlineStr">
        <is>
          <t xml:space="preserve">    Set wsData = ThisWorkbook.Sheets("Data Original")</t>
        </is>
      </c>
    </row>
    <row r="51" ht="14" customHeight="1" s="78">
      <c r="B51" s="81" t="inlineStr">
        <is>
          <t xml:space="preserve">    lastRow = wsData.Cells(wsData.Rows.Count, 1).End(xlUp).Row</t>
        </is>
      </c>
    </row>
    <row r="52" ht="14" customHeight="1" s="78">
      <c r="B52" s="81" t="inlineStr">
        <is>
          <t xml:space="preserve">    </t>
        </is>
      </c>
    </row>
    <row r="53" ht="14" customHeight="1" s="78">
      <c r="B53" s="81" t="inlineStr">
        <is>
          <t xml:space="preserve">    jsonStr = "{" &amp; vbNewLine</t>
        </is>
      </c>
    </row>
    <row r="54" ht="14" customHeight="1" s="78">
      <c r="B54" s="81" t="inlineStr">
        <is>
          <t xml:space="preserve">    jsonStr = jsonStr &amp; """fecha_exportacion"": """ &amp; Format(Now(), "YYYY-MM-DD HH:MM:SS") &amp; """," &amp; vbNewLine</t>
        </is>
      </c>
    </row>
    <row r="55" ht="14" customHeight="1" s="78">
      <c r="B55" s="81" t="inlineStr">
        <is>
          <t xml:space="preserve">    jsonStr = jsonStr &amp; """proyectos"": [" &amp; vbNewLine</t>
        </is>
      </c>
    </row>
    <row r="56" ht="14" customHeight="1" s="78">
      <c r="B56" s="81" t="inlineStr">
        <is>
          <t xml:space="preserve">    </t>
        </is>
      </c>
    </row>
    <row r="57" ht="14" customHeight="1" s="78">
      <c r="B57" s="81" t="inlineStr">
        <is>
          <t xml:space="preserve">    firstProj = True</t>
        </is>
      </c>
    </row>
    <row r="58" ht="14" customHeight="1" s="78">
      <c r="B58" s="81" t="inlineStr">
        <is>
          <t xml:space="preserve">    </t>
        </is>
      </c>
    </row>
    <row r="59" ht="14" customHeight="1" s="78">
      <c r="B59" s="81" t="inlineStr">
        <is>
          <t xml:space="preserve">    For i = 2 To lastRow</t>
        </is>
      </c>
    </row>
    <row r="60" ht="14" customHeight="1" s="78">
      <c r="B60" s="81" t="inlineStr">
        <is>
          <t xml:space="preserve">        If Trim(CStr(wsData.Cells(i, 1).Value)) &lt;&gt; "" Then</t>
        </is>
      </c>
    </row>
    <row r="61" ht="14" customHeight="1" s="78">
      <c r="B61" s="81" t="inlineStr">
        <is>
          <t xml:space="preserve">            </t>
        </is>
      </c>
    </row>
    <row r="62" ht="14" customHeight="1" s="78">
      <c r="B62" s="81" t="inlineStr">
        <is>
          <t xml:space="preserve">            Dim pid As String</t>
        </is>
      </c>
    </row>
    <row r="63" ht="14" customHeight="1" s="78">
      <c r="B63" s="81" t="inlineStr">
        <is>
          <t xml:space="preserve">            pid = Trim(CStr(wsData.Cells(i, 1).Value))</t>
        </is>
      </c>
    </row>
    <row r="64" ht="14" customHeight="1" s="78">
      <c r="B64" s="81" t="inlineStr">
        <is>
          <t xml:space="preserve">            </t>
        </is>
      </c>
    </row>
    <row r="65" ht="14" customHeight="1" s="78">
      <c r="B65" s="81" t="inlineStr">
        <is>
          <t xml:space="preserve">            If Not firstProj Then</t>
        </is>
      </c>
    </row>
    <row r="66" ht="14" customHeight="1" s="78">
      <c r="B66" s="81" t="inlineStr">
        <is>
          <t xml:space="preserve">                jsonStr = jsonStr &amp; "," &amp; vbNewLine</t>
        </is>
      </c>
    </row>
    <row r="67" ht="14" customHeight="1" s="78">
      <c r="B67" s="81" t="inlineStr">
        <is>
          <t xml:space="preserve">            End If</t>
        </is>
      </c>
    </row>
    <row r="68" ht="14" customHeight="1" s="78">
      <c r="B68" s="81" t="inlineStr">
        <is>
          <t xml:space="preserve">            firstProj = False</t>
        </is>
      </c>
    </row>
    <row r="69" ht="14" customHeight="1" s="78">
      <c r="B69" s="81" t="inlineStr">
        <is>
          <t xml:space="preserve">            </t>
        </is>
      </c>
    </row>
    <row r="70" ht="14" customHeight="1" s="78">
      <c r="B70" s="81" t="inlineStr">
        <is>
          <t xml:space="preserve">            ' --- CAMPOS DE TEXTO (limpiar saltos de línea) ---</t>
        </is>
      </c>
    </row>
    <row r="71" ht="14" customHeight="1" s="78">
      <c r="B71" s="81" t="inlineStr">
        <is>
          <t xml:space="preserve">            Dim pNombre As String:      pNombre = LimpiarTexto(CStr(wsData.Cells(i, 3).Value))</t>
        </is>
      </c>
    </row>
    <row r="72" ht="14" customHeight="1" s="78">
      <c r="B72" s="81" t="inlineStr">
        <is>
          <t xml:space="preserve">            Dim pSGC As String:         pSGC = LimpiarTexto(CStr(wsData.Cells(i, 4).Value))</t>
        </is>
      </c>
    </row>
    <row r="73" ht="14" customHeight="1" s="78">
      <c r="B73" s="81" t="inlineStr">
        <is>
          <t xml:space="preserve">            Dim pModalidad As String:   pModalidad = LimpiarTexto(CStr(wsData.Cells(i, 5).Value))</t>
        </is>
      </c>
    </row>
    <row r="74" ht="14" customHeight="1" s="78">
      <c r="B74" s="81" t="inlineStr">
        <is>
          <t xml:space="preserve">            Dim pObjeto As String:      pObjeto = LimpiarTexto(CStr(wsData.Cells(i, 6).Value))</t>
        </is>
      </c>
    </row>
    <row r="75" ht="14" customHeight="1" s="78">
      <c r="B75" s="81" t="inlineStr">
        <is>
          <t xml:space="preserve">            Dim pEstructurador As String: pEstructurador = LimpiarTexto(CStr(wsData.Cells(i, 20).Value))</t>
        </is>
      </c>
    </row>
    <row r="76" ht="14" customHeight="1" s="78">
      <c r="B76" s="81" t="inlineStr">
        <is>
          <t xml:space="preserve">            Dim pAbogado As String:     pAbogado = LimpiarTexto(CStr(wsData.Cells(i, 21).Value))</t>
        </is>
      </c>
    </row>
    <row r="77" ht="14" customHeight="1" s="78">
      <c r="B77" s="81" t="inlineStr">
        <is>
          <t xml:space="preserve">            Dim pEvaluadores As String: pEvaluadores = LimpiarTexto(CStr(wsData.Cells(i, 22).Value))</t>
        </is>
      </c>
    </row>
    <row r="78" ht="14" customHeight="1" s="78">
      <c r="B78" s="81" t="inlineStr">
        <is>
          <t xml:space="preserve">            Dim pSupervisor As String:  pSupervisor = LimpiarTexto(CStr(wsData.Cells(i, 23).Value))</t>
        </is>
      </c>
    </row>
    <row r="79" ht="14" customHeight="1" s="78">
      <c r="B79" s="81" t="inlineStr">
        <is>
          <t xml:space="preserve">            Dim pApoyo As String:       pApoyo = LimpiarTexto(CStr(wsData.Cells(i, 24).Value))</t>
        </is>
      </c>
    </row>
    <row r="80" ht="14" customHeight="1" s="78">
      <c r="B80" s="81" t="inlineStr">
        <is>
          <t xml:space="preserve">            Dim pEstado As String:      pEstado = LimpiarTexto(CStr(wsData.Cells(i, 2).Value))</t>
        </is>
      </c>
    </row>
    <row r="81" ht="14" customHeight="1" s="78">
      <c r="B81" s="81" t="inlineStr">
        <is>
          <t xml:space="preserve">            </t>
        </is>
      </c>
    </row>
    <row r="82" ht="14" customHeight="1" s="78">
      <c r="B82" s="81" t="inlineStr">
        <is>
          <t xml:space="preserve">            ' --- VALOR (col I = 9) ---</t>
        </is>
      </c>
    </row>
    <row r="83" ht="14" customHeight="1" s="78">
      <c r="B83" s="81" t="inlineStr">
        <is>
          <t xml:space="preserve">            Dim pValor As Long</t>
        </is>
      </c>
    </row>
    <row r="84" ht="14" customHeight="1" s="78">
      <c r="B84" s="81" t="inlineStr">
        <is>
          <t xml:space="preserve">            pValor = 0</t>
        </is>
      </c>
    </row>
    <row r="85" ht="14" customHeight="1" s="78">
      <c r="B85" s="81" t="inlineStr">
        <is>
          <t xml:space="preserve">            If IsNumeric(wsData.Cells(i, 9).Value) Then</t>
        </is>
      </c>
    </row>
    <row r="86" ht="14" customHeight="1" s="78">
      <c r="B86" s="81" t="inlineStr">
        <is>
          <t xml:space="preserve">                pValor = CLng(wsData.Cells(i, 9).Value)</t>
        </is>
      </c>
    </row>
    <row r="87" ht="14" customHeight="1" s="78">
      <c r="B87" s="81" t="inlineStr">
        <is>
          <t xml:space="preserve">            End If</t>
        </is>
      </c>
    </row>
    <row r="88" ht="14" customHeight="1" s="78">
      <c r="B88" s="81" t="inlineStr">
        <is>
          <t xml:space="preserve">            </t>
        </is>
      </c>
    </row>
    <row r="89" ht="14" customHeight="1" s="78">
      <c r="B89" s="81" t="inlineStr">
        <is>
          <t xml:space="preserve">            ' --- FECHAS Y DÍAS ---</t>
        </is>
      </c>
    </row>
    <row r="90" ht="14" customHeight="1" s="78">
      <c r="B90" s="81" t="inlineStr">
        <is>
          <t xml:space="preserve">            ' Abogado: col J(10)=fecha, K(11)=días</t>
        </is>
      </c>
    </row>
    <row r="91" ht="14" customHeight="1" s="78">
      <c r="B91" s="81" t="inlineStr">
        <is>
          <t xml:space="preserve">            Dim fAbogado As String:  fAbogado = FormatFecha(wsData.Cells(i, 10).Value)</t>
        </is>
      </c>
    </row>
    <row r="92" ht="14" customHeight="1" s="78">
      <c r="B92" s="81" t="inlineStr">
        <is>
          <t xml:space="preserve">            Dim dAbogado As Long:    dAbogado = ValorLong(wsData.Cells(i, 11).Value)</t>
        </is>
      </c>
    </row>
    <row r="93" ht="14" customHeight="1" s="78">
      <c r="B93" s="81" t="inlineStr">
        <is>
          <t xml:space="preserve">            </t>
        </is>
      </c>
    </row>
    <row r="94" ht="14" customHeight="1" s="78">
      <c r="B94" s="81" t="inlineStr">
        <is>
          <t xml:space="preserve">            ' Mesa: col M(13)=fecha, N(14)=días</t>
        </is>
      </c>
    </row>
    <row r="95" ht="14" customHeight="1" s="78">
      <c r="B95" s="81" t="inlineStr">
        <is>
          <t xml:space="preserve">            Dim fMesa As String:     fMesa = FormatFecha(wsData.Cells(i, 13).Value)</t>
        </is>
      </c>
    </row>
    <row r="96" ht="14" customHeight="1" s="78">
      <c r="B96" s="81" t="inlineStr">
        <is>
          <t xml:space="preserve">            Dim dMesa As Long:       dMesa = ValorLong(wsData.Cells(i, 14).Value)</t>
        </is>
      </c>
    </row>
    <row r="97" ht="14" customHeight="1" s="78">
      <c r="B97" s="81" t="inlineStr">
        <is>
          <t xml:space="preserve">            </t>
        </is>
      </c>
    </row>
    <row r="98" ht="14" customHeight="1" s="78">
      <c r="B98" s="81" t="inlineStr">
        <is>
          <t xml:space="preserve">            ' Radicación: col P(16)=fecha, Q(17)=días</t>
        </is>
      </c>
    </row>
    <row r="99" ht="14" customHeight="1" s="78">
      <c r="B99" s="81" t="inlineStr">
        <is>
          <t xml:space="preserve">            Dim fRadic As String:    fRadic = FormatFecha(wsData.Cells(i, 16).Value)</t>
        </is>
      </c>
    </row>
    <row r="100" ht="14" customHeight="1" s="78">
      <c r="B100" s="81" t="inlineStr">
        <is>
          <t xml:space="preserve">            Dim dRadic As Long:      dRadic = ValorLong(wsData.Cells(i, 17).Value)</t>
        </is>
      </c>
    </row>
    <row r="101" ht="14" customHeight="1" s="78">
      <c r="B101" s="81" t="inlineStr">
        <is>
          <t xml:space="preserve">            </t>
        </is>
      </c>
    </row>
    <row r="102" ht="14" customHeight="1" s="78">
      <c r="B102" s="81" t="inlineStr">
        <is>
          <t xml:space="preserve">            ' --- CONSTRUIR JSON DEL PROYECTO ---</t>
        </is>
      </c>
    </row>
    <row r="103" ht="14" customHeight="1" s="78">
      <c r="B103" s="81" t="inlineStr">
        <is>
          <t xml:space="preserve">            jsonStr = jsonStr &amp; "  {" &amp; vbNewLine</t>
        </is>
      </c>
    </row>
    <row r="104" ht="14" customHeight="1" s="78">
      <c r="B104" s="81" t="inlineStr">
        <is>
          <t xml:space="preserve">            jsonStr = jsonStr &amp; "    ""id"": """ &amp; pid &amp; """," &amp; vbNewLine</t>
        </is>
      </c>
    </row>
    <row r="105" ht="14" customHeight="1" s="78">
      <c r="B105" s="81" t="inlineStr">
        <is>
          <t xml:space="preserve">            jsonStr = jsonStr &amp; "    ""estado"": """ &amp; pEstado &amp; """," &amp; vbNewLine</t>
        </is>
      </c>
    </row>
    <row r="106" ht="14" customHeight="1" s="78">
      <c r="B106" s="81" t="inlineStr">
        <is>
          <t xml:space="preserve">            jsonStr = jsonStr &amp; "    ""nombre"": """ &amp; pNombre &amp; """," &amp; vbNewLine</t>
        </is>
      </c>
    </row>
    <row r="107" ht="14" customHeight="1" s="78">
      <c r="B107" s="81" t="inlineStr">
        <is>
          <t xml:space="preserve">            jsonStr = jsonStr &amp; "    ""sgc"": """ &amp; pSGC &amp; """," &amp; vbNewLine</t>
        </is>
      </c>
    </row>
    <row r="108" ht="14" customHeight="1" s="78">
      <c r="B108" s="81" t="inlineStr">
        <is>
          <t xml:space="preserve">            jsonStr = jsonStr &amp; "    ""modalidad"": """ &amp; pModalidad &amp; """," &amp; vbNewLine</t>
        </is>
      </c>
    </row>
    <row r="109" ht="14" customHeight="1" s="78">
      <c r="B109" s="81" t="inlineStr">
        <is>
          <t xml:space="preserve">            jsonStr = jsonStr &amp; "    ""objeto"": """ &amp; pObjeto &amp; """," &amp; vbNewLine</t>
        </is>
      </c>
    </row>
    <row r="110" ht="14" customHeight="1" s="78">
      <c r="B110" s="81" t="inlineStr">
        <is>
          <t xml:space="preserve">            jsonStr = jsonStr &amp; "    ""valor"": " &amp; pValor &amp; "," &amp; vbNewLine</t>
        </is>
      </c>
    </row>
    <row r="111" ht="14" customHeight="1" s="78">
      <c r="B111" s="81" t="inlineStr">
        <is>
          <t xml:space="preserve">            jsonStr = jsonStr &amp; "    ""supervisor"": """ &amp; pSupervisor &amp; """," &amp; vbNewLine</t>
        </is>
      </c>
    </row>
    <row r="112" ht="14" customHeight="1" s="78">
      <c r="B112" s="81" t="inlineStr">
        <is>
          <t xml:space="preserve">            jsonStr = jsonStr &amp; "    ""estructurador"": """ &amp; pEstructurador &amp; """," &amp; vbNewLine</t>
        </is>
      </c>
    </row>
    <row r="113" ht="14" customHeight="1" s="78">
      <c r="B113" s="81" t="inlineStr">
        <is>
          <t xml:space="preserve">            jsonStr = jsonStr &amp; "    ""abogado"": """ &amp; pAbogado &amp; """," &amp; vbNewLine</t>
        </is>
      </c>
    </row>
    <row r="114" ht="14" customHeight="1" s="78">
      <c r="B114" s="81" t="inlineStr">
        <is>
          <t xml:space="preserve">            jsonStr = jsonStr &amp; "    ""evaluadores"": """ &amp; pEvaluadores &amp; """," &amp; vbNewLine</t>
        </is>
      </c>
    </row>
    <row r="115" ht="14" customHeight="1" s="78">
      <c r="B115" s="81" t="inlineStr">
        <is>
          <t xml:space="preserve">            jsonStr = jsonStr &amp; "    ""fecha_abogado"": """ &amp; fAbogado &amp; """," &amp; vbNewLine</t>
        </is>
      </c>
    </row>
    <row r="116" ht="14" customHeight="1" s="78">
      <c r="B116" s="81" t="inlineStr">
        <is>
          <t xml:space="preserve">            jsonStr = jsonStr &amp; "    ""dias_abogado"": " &amp; dAbogado &amp; "," &amp; vbNewLine</t>
        </is>
      </c>
    </row>
    <row r="117" ht="14" customHeight="1" s="78">
      <c r="B117" s="81" t="inlineStr">
        <is>
          <t xml:space="preserve">            jsonStr = jsonStr &amp; "    ""fecha_mesa"": """ &amp; fMesa &amp; """," &amp; vbNewLine</t>
        </is>
      </c>
    </row>
    <row r="118" ht="14" customHeight="1" s="78">
      <c r="B118" s="81" t="inlineStr">
        <is>
          <t xml:space="preserve">            jsonStr = jsonStr &amp; "    ""dias_mesa"": " &amp; dMesa &amp; "," &amp; vbNewLine</t>
        </is>
      </c>
    </row>
    <row r="119" ht="14" customHeight="1" s="78">
      <c r="B119" s="81" t="inlineStr">
        <is>
          <t xml:space="preserve">            jsonStr = jsonStr &amp; "    ""fecha_radicacion"": """ &amp; fRadic &amp; """," &amp; vbNewLine</t>
        </is>
      </c>
    </row>
    <row r="120" ht="14" customHeight="1" s="78">
      <c r="B120" s="81" t="inlineStr">
        <is>
          <t xml:space="preserve">            jsonStr = jsonStr &amp; "    ""dias_radicacion"": " &amp; dRadic &amp; "," &amp; vbNewLine</t>
        </is>
      </c>
    </row>
    <row r="121" ht="14" customHeight="1" s="78">
      <c r="B121" s="81" t="inlineStr">
        <is>
          <t xml:space="preserve">            </t>
        </is>
      </c>
    </row>
    <row r="122" ht="14" customHeight="1" s="78">
      <c r="B122" s="81" t="inlineStr">
        <is>
          <t xml:space="preserve">            ' --- TAREAS DEL PROYECTO (hoja Pxx) ---</t>
        </is>
      </c>
    </row>
    <row r="123" ht="14" customHeight="1" s="78">
      <c r="B123" s="81" t="inlineStr">
        <is>
          <t xml:space="preserve">            Dim tareasJson As String</t>
        </is>
      </c>
    </row>
    <row r="124" ht="14" customHeight="1" s="78">
      <c r="B124" s="81" t="inlineStr">
        <is>
          <t xml:space="preserve">            tareasJson = "[]"</t>
        </is>
      </c>
    </row>
    <row r="125" ht="14" customHeight="1" s="78">
      <c r="B125" s="81" t="inlineStr">
        <is>
          <t xml:space="preserve">            Dim tareaArr As String</t>
        </is>
      </c>
    </row>
    <row r="126" ht="14" customHeight="1" s="78">
      <c r="B126" s="81" t="inlineStr">
        <is>
          <t xml:space="preserve">            Dim firstTarea As Boolean</t>
        </is>
      </c>
    </row>
    <row r="127" ht="14" customHeight="1" s="78">
      <c r="B127" s="81" t="inlineStr">
        <is>
          <t xml:space="preserve">            </t>
        </is>
      </c>
    </row>
    <row r="128" ht="14" customHeight="1" s="78">
      <c r="B128" s="81" t="inlineStr">
        <is>
          <t xml:space="preserve">            Set wsTareas = Nothing</t>
        </is>
      </c>
    </row>
    <row r="129" ht="14" customHeight="1" s="78">
      <c r="B129" s="81" t="inlineStr">
        <is>
          <t xml:space="preserve">            On Error Resume Next</t>
        </is>
      </c>
    </row>
    <row r="130" ht="14" customHeight="1" s="78">
      <c r="B130" s="81" t="inlineStr">
        <is>
          <t xml:space="preserve">            Set wsTareas = ThisWorkbook.Sheets(pid)</t>
        </is>
      </c>
    </row>
    <row r="131" ht="14" customHeight="1" s="78">
      <c r="B131" s="81" t="inlineStr">
        <is>
          <t xml:space="preserve">            On Error GoTo ErrorHandler</t>
        </is>
      </c>
    </row>
    <row r="132" ht="14" customHeight="1" s="78">
      <c r="B132" s="81" t="inlineStr">
        <is>
          <t xml:space="preserve">            </t>
        </is>
      </c>
    </row>
    <row r="133" ht="14" customHeight="1" s="78">
      <c r="B133" s="81" t="inlineStr">
        <is>
          <t xml:space="preserve">            If Not wsTareas Is Nothing Then</t>
        </is>
      </c>
    </row>
    <row r="134" ht="14" customHeight="1" s="78">
      <c r="B134" s="81" t="inlineStr">
        <is>
          <t xml:space="preserve">                tareaArr = "["</t>
        </is>
      </c>
    </row>
    <row r="135" ht="14" customHeight="1" s="78">
      <c r="B135" s="81" t="inlineStr">
        <is>
          <t xml:space="preserve">                firstTarea = True</t>
        </is>
      </c>
    </row>
    <row r="136" ht="14" customHeight="1" s="78">
      <c r="B136" s="81" t="inlineStr">
        <is>
          <t xml:space="preserve">                </t>
        </is>
      </c>
    </row>
    <row r="137" ht="14" customHeight="1" s="78">
      <c r="B137" s="81" t="inlineStr">
        <is>
          <t xml:space="preserve">                For j = 4 To 18  ' Filas 4-18 = hasta 15 tareas</t>
        </is>
      </c>
    </row>
    <row r="138" ht="14" customHeight="1" s="78">
      <c r="B138" s="81" t="inlineStr">
        <is>
          <t xml:space="preserve">                    If Trim(CStr(wsTareas.Cells(j, 4).Value)) &lt;&gt; "" Then</t>
        </is>
      </c>
    </row>
    <row r="139" ht="14" customHeight="1" s="78">
      <c r="B139" s="81" t="inlineStr">
        <is>
          <t xml:space="preserve">                        If Not firstTarea Then tareaArr = tareaArr &amp; ","</t>
        </is>
      </c>
    </row>
    <row r="140" ht="14" customHeight="1" s="78">
      <c r="B140" s="81" t="inlineStr">
        <is>
          <t xml:space="preserve">                        firstTarea = False</t>
        </is>
      </c>
    </row>
    <row r="141" ht="14" customHeight="1" s="78">
      <c r="B141" s="81" t="inlineStr">
        <is>
          <t xml:space="preserve">                        </t>
        </is>
      </c>
    </row>
    <row r="142" ht="14" customHeight="1" s="78">
      <c r="B142" s="81" t="inlineStr">
        <is>
          <t xml:space="preserve">                        Dim tNombre As String:  tNombre = LimpiarTexto(CStr(wsTareas.Cells(j, 4).Value))</t>
        </is>
      </c>
    </row>
    <row r="143" ht="14" customHeight="1" s="78">
      <c r="B143" s="81" t="inlineStr">
        <is>
          <t xml:space="preserve">                        Dim tFase As String:    tFase = LimpiarTexto(CStr(wsTareas.Cells(j, 3).Value))</t>
        </is>
      </c>
    </row>
    <row r="144" ht="14" customHeight="1" s="78">
      <c r="B144" s="81" t="inlineStr">
        <is>
          <t xml:space="preserve">                        Dim tInicio As String:  tInicio = FormatFecha(wsTareas.Cells(j, 5).Value)</t>
        </is>
      </c>
    </row>
    <row r="145" ht="14" customHeight="1" s="78">
      <c r="B145" s="81" t="inlineStr">
        <is>
          <t xml:space="preserve">                        Dim tFin As String:     tFin = FormatFecha(wsTareas.Cells(j, 6).Value)</t>
        </is>
      </c>
    </row>
    <row r="146" ht="14" customHeight="1" s="78">
      <c r="B146" s="81" t="inlineStr">
        <is>
          <t xml:space="preserve">                        Dim tDias As Long:      tDias = ValorLong(wsTareas.Cells(j, 7).Value)</t>
        </is>
      </c>
    </row>
    <row r="147" ht="14" customHeight="1" s="78">
      <c r="B147" s="81" t="inlineStr">
        <is>
          <t xml:space="preserve">                        Dim tAvance As Long:    tAvance = ValorLong(wsTareas.Cells(j, 8).Value)</t>
        </is>
      </c>
    </row>
    <row r="148" ht="14" customHeight="1" s="78">
      <c r="B148" s="81" t="inlineStr">
        <is>
          <t xml:space="preserve">                        Dim tEstado As String:  tEstado = LimpiarTexto(CStr(wsTareas.Cells(j, 9).Value))</t>
        </is>
      </c>
    </row>
    <row r="149" ht="14" customHeight="1" s="78">
      <c r="B149" s="81" t="inlineStr">
        <is>
          <t xml:space="preserve">                        </t>
        </is>
      </c>
    </row>
    <row r="150" ht="14" customHeight="1" s="78">
      <c r="B150" s="81" t="inlineStr">
        <is>
          <t xml:space="preserve">                        tareaArr = tareaArr &amp; vbNewLine &amp; "      {"</t>
        </is>
      </c>
    </row>
    <row r="151" ht="14" customHeight="1" s="78">
      <c r="B151" s="81" t="inlineStr">
        <is>
          <t xml:space="preserve">                        tareaArr = tareaArr &amp; """num"": " &amp; (j - 3) &amp; ","</t>
        </is>
      </c>
    </row>
    <row r="152" ht="14" customHeight="1" s="78">
      <c r="B152" s="81" t="inlineStr">
        <is>
          <t xml:space="preserve">                        tareaArr = tareaArr &amp; """fase"": """ &amp; tFase &amp; ""","</t>
        </is>
      </c>
    </row>
    <row r="153" ht="14" customHeight="1" s="78">
      <c r="B153" s="81" t="inlineStr">
        <is>
          <t xml:space="preserve">                        tareaArr = tareaArr &amp; """nombre"": """ &amp; tNombre &amp; ""","</t>
        </is>
      </c>
    </row>
    <row r="154" ht="14" customHeight="1" s="78">
      <c r="B154" s="81" t="inlineStr">
        <is>
          <t xml:space="preserve">                        tareaArr = tareaArr &amp; """inicio"": """ &amp; tInicio &amp; ""","</t>
        </is>
      </c>
    </row>
    <row r="155" ht="14" customHeight="1" s="78">
      <c r="B155" s="81" t="inlineStr">
        <is>
          <t xml:space="preserve">                        tareaArr = tareaArr &amp; """fin"": """ &amp; tFin &amp; ""","</t>
        </is>
      </c>
    </row>
    <row r="156" ht="14" customHeight="1" s="78">
      <c r="B156" s="81" t="inlineStr">
        <is>
          <t xml:space="preserve">                        tareaArr = tareaArr &amp; """dias"": " &amp; tDias &amp; ","</t>
        </is>
      </c>
    </row>
    <row r="157" ht="14" customHeight="1" s="78">
      <c r="B157" s="81" t="inlineStr">
        <is>
          <t xml:space="preserve">                        tareaArr = tareaArr &amp; """avance"": " &amp; tAvance &amp; ","</t>
        </is>
      </c>
    </row>
    <row r="158" ht="14" customHeight="1" s="78">
      <c r="B158" s="81" t="inlineStr">
        <is>
          <t xml:space="preserve">                        tareaArr = tareaArr &amp; """estado"": """ &amp; tEstado &amp; """"</t>
        </is>
      </c>
    </row>
    <row r="159" ht="14" customHeight="1" s="78">
      <c r="B159" s="81" t="inlineStr">
        <is>
          <t xml:space="preserve">                        tareaArr = tareaArr &amp; "}"</t>
        </is>
      </c>
    </row>
    <row r="160" ht="14" customHeight="1" s="78">
      <c r="B160" s="81" t="inlineStr">
        <is>
          <t xml:space="preserve">                    End If</t>
        </is>
      </c>
    </row>
    <row r="161" ht="14" customHeight="1" s="78">
      <c r="B161" s="81" t="inlineStr">
        <is>
          <t xml:space="preserve">                Next j</t>
        </is>
      </c>
    </row>
    <row r="162" ht="14" customHeight="1" s="78">
      <c r="B162" s="81" t="inlineStr">
        <is>
          <t xml:space="preserve">                tareasJson = tareaArr &amp; "]"</t>
        </is>
      </c>
    </row>
    <row r="163" ht="14" customHeight="1" s="78">
      <c r="B163" s="81" t="inlineStr">
        <is>
          <t xml:space="preserve">                </t>
        </is>
      </c>
    </row>
    <row r="164" ht="14" customHeight="1" s="78">
      <c r="B164" s="81" t="inlineStr">
        <is>
          <t xml:space="preserve">                ' Progreso general desde celda H19</t>
        </is>
      </c>
    </row>
    <row r="165" ht="14" customHeight="1" s="78">
      <c r="B165" s="81" t="inlineStr">
        <is>
          <t xml:space="preserve">                Dim progGen As Long: progGen = 0</t>
        </is>
      </c>
    </row>
    <row r="166" ht="14" customHeight="1" s="78">
      <c r="B166" s="81" t="inlineStr">
        <is>
          <t xml:space="preserve">                On Error Resume Next</t>
        </is>
      </c>
    </row>
    <row r="167" ht="14" customHeight="1" s="78">
      <c r="B167" s="81" t="inlineStr">
        <is>
          <t xml:space="preserve">                If IsNumeric(wsTareas.Cells(19, 8).Value) Then</t>
        </is>
      </c>
    </row>
    <row r="168" ht="14" customHeight="1" s="78">
      <c r="B168" s="81" t="inlineStr">
        <is>
          <t xml:space="preserve">                    progGen = CLng(wsTareas.Cells(19, 8).Value)</t>
        </is>
      </c>
    </row>
    <row r="169" ht="14" customHeight="1" s="78">
      <c r="B169" s="81" t="inlineStr">
        <is>
          <t xml:space="preserve">                End If</t>
        </is>
      </c>
    </row>
    <row r="170" ht="14" customHeight="1" s="78">
      <c r="B170" s="81" t="inlineStr">
        <is>
          <t xml:space="preserve">                On Error GoTo ErrorHandler</t>
        </is>
      </c>
    </row>
    <row r="171" ht="14" customHeight="1" s="78">
      <c r="B171" s="81" t="inlineStr">
        <is>
          <t xml:space="preserve">                </t>
        </is>
      </c>
    </row>
    <row r="172" ht="14" customHeight="1" s="78">
      <c r="B172" s="81" t="inlineStr">
        <is>
          <t xml:space="preserve">                jsonStr = jsonStr &amp; "    ""progreso_general"": " &amp; progGen &amp; "," &amp; vbNewLine</t>
        </is>
      </c>
    </row>
    <row r="173" ht="14" customHeight="1" s="78">
      <c r="B173" s="81" t="inlineStr">
        <is>
          <t xml:space="preserve">            Else</t>
        </is>
      </c>
    </row>
    <row r="174" ht="14" customHeight="1" s="78">
      <c r="B174" s="81" t="inlineStr">
        <is>
          <t xml:space="preserve">                jsonStr = jsonStr &amp; "    ""progreso_general"": 0," &amp; vbNewLine</t>
        </is>
      </c>
    </row>
    <row r="175" ht="14" customHeight="1" s="78">
      <c r="B175" s="81" t="inlineStr">
        <is>
          <t xml:space="preserve">            End If</t>
        </is>
      </c>
    </row>
    <row r="176" ht="14" customHeight="1" s="78">
      <c r="B176" s="81" t="inlineStr">
        <is>
          <t xml:space="preserve">            </t>
        </is>
      </c>
    </row>
    <row r="177" ht="14" customHeight="1" s="78">
      <c r="B177" s="81" t="inlineStr">
        <is>
          <t xml:space="preserve">            jsonStr = jsonStr &amp; "    ""tareas"": " &amp; tareasJson &amp; vbNewLine</t>
        </is>
      </c>
    </row>
    <row r="178" ht="14" customHeight="1" s="78">
      <c r="B178" s="81" t="inlineStr">
        <is>
          <t xml:space="preserve">            jsonStr = jsonStr &amp; "  }"</t>
        </is>
      </c>
    </row>
    <row r="179" ht="14" customHeight="1" s="78">
      <c r="B179" s="81" t="inlineStr">
        <is>
          <t xml:space="preserve">            </t>
        </is>
      </c>
    </row>
    <row r="180" ht="14" customHeight="1" s="78">
      <c r="B180" s="81" t="inlineStr">
        <is>
          <t xml:space="preserve">            Set wsTareas = Nothing</t>
        </is>
      </c>
    </row>
    <row r="181" ht="14" customHeight="1" s="78">
      <c r="B181" s="81" t="inlineStr">
        <is>
          <t xml:space="preserve">        End If</t>
        </is>
      </c>
    </row>
    <row r="182" ht="14" customHeight="1" s="78">
      <c r="B182" s="81" t="inlineStr">
        <is>
          <t xml:space="preserve">    Next i</t>
        </is>
      </c>
    </row>
    <row r="183" ht="14" customHeight="1" s="78">
      <c r="B183" s="81" t="inlineStr">
        <is>
          <t xml:space="preserve">    </t>
        </is>
      </c>
    </row>
    <row r="184" ht="14" customHeight="1" s="78">
      <c r="B184" s="81" t="inlineStr">
        <is>
          <t xml:space="preserve">    jsonStr = jsonStr &amp; vbNewLine &amp; "]" &amp; vbNewLine &amp; "}"</t>
        </is>
      </c>
    </row>
    <row r="185" ht="14" customHeight="1" s="78">
      <c r="B185" s="81" t="inlineStr">
        <is>
          <t xml:space="preserve">    </t>
        </is>
      </c>
    </row>
    <row r="186" ht="14" customHeight="1" s="78">
      <c r="B186" s="81" t="inlineStr">
        <is>
          <t xml:space="preserve">    ' --- ESCRIBIR ARCHIVO ---</t>
        </is>
      </c>
    </row>
    <row r="187" ht="14" customHeight="1" s="78">
      <c r="B187" s="81" t="inlineStr">
        <is>
          <t xml:space="preserve">    Dim fileNum As Integer</t>
        </is>
      </c>
    </row>
    <row r="188" ht="14" customHeight="1" s="78">
      <c r="B188" s="81" t="inlineStr">
        <is>
          <t xml:space="preserve">    fileNum = FreeFile()</t>
        </is>
      </c>
    </row>
    <row r="189" ht="14" customHeight="1" s="78">
      <c r="B189" s="81" t="inlineStr">
        <is>
          <t xml:space="preserve">    Open filePath For Output As #fileNum</t>
        </is>
      </c>
    </row>
    <row r="190" ht="14" customHeight="1" s="78">
      <c r="B190" s="81" t="inlineStr">
        <is>
          <t xml:space="preserve">    Print #fileNum, jsonStr</t>
        </is>
      </c>
    </row>
    <row r="191" ht="14" customHeight="1" s="78">
      <c r="B191" s="81" t="inlineStr">
        <is>
          <t xml:space="preserve">    Close #fileNum</t>
        </is>
      </c>
    </row>
    <row r="192" ht="14" customHeight="1" s="78">
      <c r="B192" s="81" t="inlineStr">
        <is>
          <t xml:space="preserve">    </t>
        </is>
      </c>
    </row>
    <row r="193" ht="14" customHeight="1" s="78">
      <c r="B193" s="81" t="inlineStr">
        <is>
          <t xml:space="preserve">    MsgBox "✅ Dashboard exportado correctamente!" &amp; vbNewLine &amp; vbNewLine &amp; _</t>
        </is>
      </c>
    </row>
    <row r="194" ht="14" customHeight="1" s="78">
      <c r="B194" s="81" t="inlineStr">
        <is>
          <t xml:space="preserve">           "Archivo generado: datos_otic.json" &amp; vbNewLine &amp; _</t>
        </is>
      </c>
    </row>
    <row r="195" ht="14" customHeight="1" s="78">
      <c r="B195" s="81" t="inlineStr">
        <is>
          <t xml:space="preserve">           "Ubicación: " &amp; filePath &amp; vbNewLine &amp; vbNewLine &amp; _</t>
        </is>
      </c>
    </row>
    <row r="196" ht="14" customHeight="1" s="78">
      <c r="B196" s="81" t="inlineStr">
        <is>
          <t xml:space="preserve">           "Ahora abra dashboard_otic.html en Chrome o Edge" &amp; vbNewLine &amp; _</t>
        </is>
      </c>
    </row>
    <row r="197" ht="14" customHeight="1" s="78">
      <c r="B197" s="81" t="inlineStr">
        <is>
          <t xml:space="preserve">           "y arrastre el archivo JSON sobre la pantalla.", _</t>
        </is>
      </c>
    </row>
    <row r="198" ht="14" customHeight="1" s="78">
      <c r="B198" s="81" t="inlineStr">
        <is>
          <t xml:space="preserve">           vbInformation, "Exportación Exitosa — OTIC"</t>
        </is>
      </c>
    </row>
    <row r="199" ht="14" customHeight="1" s="78">
      <c r="B199" s="81" t="inlineStr">
        <is>
          <t xml:space="preserve">    Exit Sub</t>
        </is>
      </c>
    </row>
    <row r="200" ht="14" customHeight="1" s="78">
      <c r="B200" s="81" t="inlineStr">
        <is>
          <t xml:space="preserve">    </t>
        </is>
      </c>
    </row>
    <row r="201" ht="14" customHeight="1" s="78">
      <c r="B201" s="81" t="inlineStr">
        <is>
          <t>ErrorHandler:</t>
        </is>
      </c>
    </row>
    <row r="202" ht="14" customHeight="1" s="78">
      <c r="B202" s="81" t="inlineStr">
        <is>
          <t xml:space="preserve">    MsgBox "❌ Error al exportar: " &amp; Err.Description &amp; vbNewLine &amp; _</t>
        </is>
      </c>
    </row>
    <row r="203" ht="14" customHeight="1" s="78">
      <c r="B203" s="81" t="inlineStr">
        <is>
          <t xml:space="preserve">           "En fila: " &amp; i &amp; ", columna: " &amp; j, vbCritical, "Error de Exportación"</t>
        </is>
      </c>
    </row>
    <row r="204" ht="14" customHeight="1" s="78">
      <c r="B204" s="81" t="inlineStr">
        <is>
          <t>End Sub</t>
        </is>
      </c>
    </row>
    <row r="205" ht="14" customHeight="1" s="78">
      <c r="B205" s="81" t="n"/>
    </row>
    <row r="206" ht="14" customHeight="1" s="78">
      <c r="B206" s="81" t="inlineStr">
        <is>
          <t>' ============================================================</t>
        </is>
      </c>
    </row>
    <row r="207" ht="14" customHeight="1" s="78">
      <c r="B207" s="81" t="inlineStr">
        <is>
          <t>' FUNCIONES AUXILIARES</t>
        </is>
      </c>
    </row>
    <row r="208" ht="14" customHeight="1" s="78">
      <c r="B208" s="81" t="inlineStr">
        <is>
          <t>' ============================================================</t>
        </is>
      </c>
    </row>
    <row r="209" ht="14" customHeight="1" s="78">
      <c r="B209" s="81" t="n"/>
    </row>
    <row r="210" ht="14" customHeight="1" s="78">
      <c r="B210" s="81" t="inlineStr">
        <is>
          <t>Function LimpiarTexto(texto As String) As String</t>
        </is>
      </c>
    </row>
    <row r="211" ht="14" customHeight="1" s="78">
      <c r="B211" s="81" t="inlineStr">
        <is>
          <t xml:space="preserve">    Dim r As String</t>
        </is>
      </c>
    </row>
    <row r="212" ht="14" customHeight="1" s="78">
      <c r="B212" s="81" t="inlineStr">
        <is>
          <t xml:space="preserve">    r = texto</t>
        </is>
      </c>
    </row>
    <row r="213" ht="14" customHeight="1" s="78">
      <c r="B213" s="81" t="inlineStr">
        <is>
          <t xml:space="preserve">    r = Replace(r, Chr(10), ", ")</t>
        </is>
      </c>
    </row>
    <row r="214" ht="14" customHeight="1" s="78">
      <c r="B214" s="81" t="inlineStr">
        <is>
          <t xml:space="preserve">    r = Replace(r, Chr(13), "")</t>
        </is>
      </c>
    </row>
    <row r="215" ht="14" customHeight="1" s="78">
      <c r="B215" s="81" t="inlineStr">
        <is>
          <t xml:space="preserve">    r = Replace(r, """", "'")</t>
        </is>
      </c>
    </row>
    <row r="216" ht="14" customHeight="1" s="78">
      <c r="B216" s="81" t="inlineStr">
        <is>
          <t xml:space="preserve">    r = Replace(r, "\", "/")</t>
        </is>
      </c>
    </row>
    <row r="217" ht="14" customHeight="1" s="78">
      <c r="B217" s="81" t="inlineStr">
        <is>
          <t xml:space="preserve">    LimpiarTexto = Trim(r)</t>
        </is>
      </c>
    </row>
    <row r="218" ht="14" customHeight="1" s="78">
      <c r="B218" s="81" t="inlineStr">
        <is>
          <t>End Function</t>
        </is>
      </c>
    </row>
    <row r="219" ht="14" customHeight="1" s="78">
      <c r="B219" s="81" t="n"/>
    </row>
    <row r="220" ht="14" customHeight="1" s="78">
      <c r="B220" s="81" t="inlineStr">
        <is>
          <t>Function FormatFecha(valor As Variant) As String</t>
        </is>
      </c>
    </row>
    <row r="221" ht="14" customHeight="1" s="78">
      <c r="B221" s="81" t="inlineStr">
        <is>
          <t xml:space="preserve">    If IsDate(valor) And Not IsEmpty(valor) And Not IsNull(valor) Then</t>
        </is>
      </c>
    </row>
    <row r="222" ht="14" customHeight="1" s="78">
      <c r="B222" s="81" t="inlineStr">
        <is>
          <t xml:space="preserve">        FormatFecha = Format(CDate(valor), "YYYY-MM-DD")</t>
        </is>
      </c>
    </row>
    <row r="223" ht="14" customHeight="1" s="78">
      <c r="B223" s="81" t="inlineStr">
        <is>
          <t xml:space="preserve">    Else</t>
        </is>
      </c>
    </row>
    <row r="224" ht="14" customHeight="1" s="78">
      <c r="B224" s="81" t="inlineStr">
        <is>
          <t xml:space="preserve">        FormatFecha = ""</t>
        </is>
      </c>
    </row>
    <row r="225" ht="14" customHeight="1" s="78">
      <c r="B225" s="81" t="inlineStr">
        <is>
          <t xml:space="preserve">    End If</t>
        </is>
      </c>
    </row>
    <row r="226" ht="14" customHeight="1" s="78">
      <c r="B226" s="81" t="inlineStr">
        <is>
          <t>End Function</t>
        </is>
      </c>
    </row>
    <row r="227" ht="14" customHeight="1" s="78">
      <c r="B227" s="81" t="n"/>
    </row>
    <row r="228" ht="14" customHeight="1" s="78">
      <c r="B228" s="81" t="inlineStr">
        <is>
          <t>Function ValorLong(valor As Variant) As Long</t>
        </is>
      </c>
    </row>
    <row r="229" ht="14" customHeight="1" s="78">
      <c r="B229" s="81" t="inlineStr">
        <is>
          <t xml:space="preserve">    If IsNumeric(valor) And Not IsEmpty(valor) Then</t>
        </is>
      </c>
    </row>
    <row r="230" ht="14" customHeight="1" s="78">
      <c r="B230" s="81" t="inlineStr">
        <is>
          <t xml:space="preserve">        ValorLong = CLng(valor)</t>
        </is>
      </c>
    </row>
    <row r="231" ht="14" customHeight="1" s="78">
      <c r="B231" s="81" t="inlineStr">
        <is>
          <t xml:space="preserve">    Else</t>
        </is>
      </c>
    </row>
    <row r="232" ht="14" customHeight="1" s="78">
      <c r="B232" s="81" t="inlineStr">
        <is>
          <t xml:space="preserve">        ValorLong = 0</t>
        </is>
      </c>
    </row>
    <row r="233" ht="14" customHeight="1" s="78">
      <c r="B233" s="81" t="inlineStr">
        <is>
          <t xml:space="preserve">    End If</t>
        </is>
      </c>
    </row>
    <row r="234" ht="14" customHeight="1" s="78">
      <c r="B234" s="81" t="inlineStr">
        <is>
          <t>End Function</t>
        </is>
      </c>
    </row>
    <row r="235" ht="14" customHeight="1" s="78">
      <c r="B235" s="81" t="n"/>
    </row>
    <row r="236" ht="14" customHeight="1" s="78">
      <c r="B236" s="67" t="n"/>
    </row>
    <row r="237" ht="14" customHeight="1" s="78">
      <c r="B237" s="67" t="n"/>
    </row>
    <row r="238" ht="14" customHeight="1" s="78">
      <c r="B238" s="67" t="n"/>
    </row>
    <row r="239" ht="14" customHeight="1" s="78">
      <c r="B239" s="67" t="n"/>
    </row>
    <row r="240" ht="14" customHeight="1" s="78">
      <c r="B240" s="67" t="n"/>
    </row>
    <row r="241" ht="14" customHeight="1" s="78">
      <c r="B241" s="67" t="n"/>
    </row>
  </sheetData>
  <mergeCells count="221">
    <mergeCell ref="B91:C91"/>
    <mergeCell ref="B100:C100"/>
    <mergeCell ref="B165:C165"/>
    <mergeCell ref="B232:C232"/>
    <mergeCell ref="B141:C141"/>
    <mergeCell ref="B193:C193"/>
    <mergeCell ref="B22:C22"/>
    <mergeCell ref="B93:C93"/>
    <mergeCell ref="B149:C149"/>
    <mergeCell ref="B155:C155"/>
    <mergeCell ref="B31:C31"/>
    <mergeCell ref="B102:C102"/>
    <mergeCell ref="B215:C215"/>
    <mergeCell ref="B115:C115"/>
    <mergeCell ref="B110:C110"/>
    <mergeCell ref="B77:C77"/>
    <mergeCell ref="B21:C21"/>
    <mergeCell ref="B86:C86"/>
    <mergeCell ref="B151:C151"/>
    <mergeCell ref="B235:C235"/>
    <mergeCell ref="B67:C67"/>
    <mergeCell ref="B61:C61"/>
    <mergeCell ref="B101:C101"/>
    <mergeCell ref="B1:C1"/>
    <mergeCell ref="B182:C182"/>
    <mergeCell ref="B69:C69"/>
    <mergeCell ref="B38:C38"/>
    <mergeCell ref="B191:C191"/>
    <mergeCell ref="B78:C78"/>
    <mergeCell ref="B205:C205"/>
    <mergeCell ref="B112:C112"/>
    <mergeCell ref="B178:C178"/>
    <mergeCell ref="B127:C127"/>
    <mergeCell ref="B211:C211"/>
    <mergeCell ref="B40:C40"/>
    <mergeCell ref="B49:C49"/>
    <mergeCell ref="B55:C55"/>
    <mergeCell ref="B183:C183"/>
    <mergeCell ref="B24:C24"/>
    <mergeCell ref="B64:C64"/>
    <mergeCell ref="B177:C177"/>
    <mergeCell ref="B33:C33"/>
    <mergeCell ref="B104:C104"/>
    <mergeCell ref="B164:C164"/>
    <mergeCell ref="B51:C51"/>
    <mergeCell ref="B32:C32"/>
    <mergeCell ref="B63:C63"/>
    <mergeCell ref="B197:C197"/>
    <mergeCell ref="B154:C154"/>
    <mergeCell ref="B212:C212"/>
    <mergeCell ref="B26:C26"/>
    <mergeCell ref="B206:C206"/>
    <mergeCell ref="B41:C41"/>
    <mergeCell ref="B35:C35"/>
    <mergeCell ref="B106:C106"/>
    <mergeCell ref="B129:C129"/>
    <mergeCell ref="B200:C200"/>
    <mergeCell ref="B138:C138"/>
    <mergeCell ref="B209:C209"/>
    <mergeCell ref="B25:C25"/>
    <mergeCell ref="B90:C90"/>
    <mergeCell ref="B156:C156"/>
    <mergeCell ref="B66:C66"/>
    <mergeCell ref="B131:C131"/>
    <mergeCell ref="B18:C18"/>
    <mergeCell ref="B140:C140"/>
    <mergeCell ref="B27:C27"/>
    <mergeCell ref="B223:C223"/>
    <mergeCell ref="B180:C180"/>
    <mergeCell ref="B220:C220"/>
    <mergeCell ref="B2:C2"/>
    <mergeCell ref="B130:C130"/>
    <mergeCell ref="B195:C195"/>
    <mergeCell ref="B117:C117"/>
    <mergeCell ref="B231:C231"/>
    <mergeCell ref="B179:C179"/>
    <mergeCell ref="B157:C157"/>
    <mergeCell ref="B132:C132"/>
    <mergeCell ref="B166:C166"/>
    <mergeCell ref="B53:C53"/>
    <mergeCell ref="B119:C119"/>
    <mergeCell ref="B116:C116"/>
    <mergeCell ref="B29:C29"/>
    <mergeCell ref="B196:C196"/>
    <mergeCell ref="B103:C103"/>
    <mergeCell ref="B174:C174"/>
    <mergeCell ref="B186:C186"/>
    <mergeCell ref="B37:C37"/>
    <mergeCell ref="B168:C168"/>
    <mergeCell ref="B230:C230"/>
    <mergeCell ref="B84:C84"/>
    <mergeCell ref="B118:C118"/>
    <mergeCell ref="B158:C158"/>
    <mergeCell ref="B142:C142"/>
    <mergeCell ref="B80:C80"/>
    <mergeCell ref="B95:C95"/>
    <mergeCell ref="B213:C213"/>
    <mergeCell ref="B89:C89"/>
    <mergeCell ref="B169:C169"/>
    <mergeCell ref="B160:C160"/>
    <mergeCell ref="B79:C79"/>
    <mergeCell ref="B144:C144"/>
    <mergeCell ref="B97:C97"/>
    <mergeCell ref="B4:C6"/>
    <mergeCell ref="B153:C153"/>
    <mergeCell ref="B224:C224"/>
    <mergeCell ref="B54:C54"/>
    <mergeCell ref="B125:C125"/>
    <mergeCell ref="B185:C185"/>
    <mergeCell ref="B72:C72"/>
    <mergeCell ref="B134:C134"/>
    <mergeCell ref="B199:C199"/>
    <mergeCell ref="B81:C81"/>
    <mergeCell ref="B194:C194"/>
    <mergeCell ref="B208:C208"/>
    <mergeCell ref="B121:C121"/>
    <mergeCell ref="B122:C122"/>
    <mergeCell ref="B96:C96"/>
    <mergeCell ref="B71:C71"/>
    <mergeCell ref="B56:C56"/>
    <mergeCell ref="B184:C184"/>
    <mergeCell ref="B105:C105"/>
    <mergeCell ref="B43:C43"/>
    <mergeCell ref="B214:C214"/>
    <mergeCell ref="B176:C176"/>
    <mergeCell ref="B228:C228"/>
    <mergeCell ref="B52:C52"/>
    <mergeCell ref="B210:C210"/>
    <mergeCell ref="B58:C58"/>
    <mergeCell ref="B120:C120"/>
    <mergeCell ref="B98:C98"/>
    <mergeCell ref="B42:C42"/>
    <mergeCell ref="B107:C107"/>
    <mergeCell ref="B60:C60"/>
    <mergeCell ref="B88:C88"/>
    <mergeCell ref="B57:C57"/>
    <mergeCell ref="B148:C148"/>
    <mergeCell ref="B82:C82"/>
    <mergeCell ref="B170:C170"/>
    <mergeCell ref="B162:C162"/>
    <mergeCell ref="B171:C171"/>
    <mergeCell ref="B44:C44"/>
    <mergeCell ref="B234:C234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204:C204"/>
    <mergeCell ref="B216:C216"/>
    <mergeCell ref="B133:C133"/>
    <mergeCell ref="B198:C198"/>
    <mergeCell ref="B76:C76"/>
    <mergeCell ref="B85:C85"/>
    <mergeCell ref="B45:C45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233:C233"/>
    <mergeCell ref="B62:C62"/>
    <mergeCell ref="B47:C47"/>
    <mergeCell ref="B227:C227"/>
    <mergeCell ref="B59:C59"/>
    <mergeCell ref="B150:C150"/>
    <mergeCell ref="B190:C190"/>
    <mergeCell ref="B202:C202"/>
    <mergeCell ref="B46:C46"/>
    <mergeCell ref="B159:C159"/>
    <mergeCell ref="B39:C39"/>
    <mergeCell ref="B152:C152"/>
    <mergeCell ref="B167:C167"/>
    <mergeCell ref="B70:C70"/>
    <mergeCell ref="B219:C219"/>
    <mergeCell ref="B161:C161"/>
    <mergeCell ref="B48:C48"/>
    <mergeCell ref="B229:C229"/>
    <mergeCell ref="B136:C136"/>
    <mergeCell ref="B111:C111"/>
    <mergeCell ref="B23:C23"/>
    <mergeCell ref="B145:C145"/>
    <mergeCell ref="B225:C225"/>
    <mergeCell ref="B181:C181"/>
    <mergeCell ref="B8:C8"/>
    <mergeCell ref="B175:C175"/>
    <mergeCell ref="B73:C73"/>
    <mergeCell ref="B87:C87"/>
    <mergeCell ref="B147:C147"/>
    <mergeCell ref="B128:C128"/>
    <mergeCell ref="B226:C226"/>
    <mergeCell ref="B137:C137"/>
    <mergeCell ref="B217:C217"/>
    <mergeCell ref="B65:C65"/>
    <mergeCell ref="B192:C192"/>
    <mergeCell ref="B74:C74"/>
    <mergeCell ref="B201:C201"/>
    <mergeCell ref="B68:C68"/>
    <mergeCell ref="B139:C139"/>
    <mergeCell ref="B222:C222"/>
    <mergeCell ref="B114:C114"/>
    <mergeCell ref="B123:C123"/>
    <mergeCell ref="B36:C36"/>
    <mergeCell ref="B207:C207"/>
    <mergeCell ref="B50:C50"/>
    <mergeCell ref="B221:C221"/>
    <mergeCell ref="B203:C203"/>
    <mergeCell ref="B163:C163"/>
    <mergeCell ref="B113:C11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C222"/>
  <sheetViews>
    <sheetView workbookViewId="0">
      <selection activeCell="A1" sqref="A1"/>
    </sheetView>
  </sheetViews>
  <sheetFormatPr baseColWidth="8" defaultRowHeight="15"/>
  <cols>
    <col width="3" customWidth="1" style="78" min="1" max="1"/>
    <col width="60" customWidth="1" style="78" min="2" max="2"/>
    <col width="40" customWidth="1" style="78" min="3" max="3"/>
  </cols>
  <sheetData>
    <row r="1" ht="32" customHeight="1" s="78">
      <c r="B1" s="142" t="inlineStr">
        <is>
          <t>📥  IMPORTAR TAREAS DESDE DASHBOARD HTML — Guía de Integración</t>
        </is>
      </c>
    </row>
    <row r="2" ht="20" customHeight="1" s="78">
      <c r="B2" s="143" t="inlineStr">
        <is>
          <t>Sincroniza las tareas editadas en el dashboard HTML de vuelta al Excel automáticamente</t>
        </is>
      </c>
    </row>
    <row r="4" ht="22" customHeight="1" s="78">
      <c r="B4" s="144" t="inlineStr">
        <is>
          <t>🔄  FLUJO DE TRABAJO COMPLETO</t>
        </is>
      </c>
    </row>
    <row r="6" ht="18" customHeight="1" s="78">
      <c r="B6" s="145" t="inlineStr">
        <is>
          <t>1️⃣  EXPORTAR desde Excel</t>
        </is>
      </c>
      <c r="C6" s="146" t="inlineStr">
        <is>
          <t>Hoja "🚀 Exportar" → Ejecutar macro ExportarDashboard → genera datos_otic.json</t>
        </is>
      </c>
    </row>
    <row r="7" ht="18" customHeight="1" s="78">
      <c r="B7" s="145" t="inlineStr">
        <is>
          <t>2️⃣  ABRIR el dashboard</t>
        </is>
      </c>
      <c r="C7" s="146" t="inlineStr">
        <is>
          <t>Abra dashboard_otic_v6.html en Chrome/Edge y cargue datos_otic.json</t>
        </is>
      </c>
    </row>
    <row r="8" ht="18" customHeight="1" s="78">
      <c r="B8" s="145" t="inlineStr">
        <is>
          <t>3️⃣  EDITAR tareas</t>
        </is>
      </c>
      <c r="C8" s="146" t="inlineStr">
        <is>
          <t>En la pestaña "Plan de Trabajo" use los botones ✏️ Editar / ➕ Nueva Tarea</t>
        </is>
      </c>
    </row>
    <row r="9" ht="18" customHeight="1" s="78">
      <c r="B9" s="145" t="inlineStr">
        <is>
          <t>4️⃣  EXPORTAR desde HTML</t>
        </is>
      </c>
      <c r="C9" s="146" t="inlineStr">
        <is>
          <t>Haga clic en "📥 Exportar JSON" → guarda datos_otic_actualizado.json</t>
        </is>
      </c>
    </row>
    <row r="10" ht="18" customHeight="1" s="78">
      <c r="B10" s="145" t="inlineStr">
        <is>
          <t>5️⃣  IMPORTAR al Excel</t>
        </is>
      </c>
      <c r="C10" s="146" t="inlineStr">
        <is>
          <t>Ejecute la macro ImportarTareasDesdeJSON → hojas P1-P28 se actualizan</t>
        </is>
      </c>
    </row>
    <row r="11" ht="18" customHeight="1" s="78">
      <c r="B11" s="145" t="inlineStr">
        <is>
          <t>6️⃣  VERIFICAR</t>
        </is>
      </c>
      <c r="C11" s="146" t="inlineStr">
        <is>
          <t>Revise las hojas P1-P28 para confirmar que las tareas quedaron correctas</t>
        </is>
      </c>
    </row>
    <row r="13" ht="22" customHeight="1" s="78">
      <c r="B13" s="147" t="inlineStr">
        <is>
          <t>⚙️  CÓMO INSTALAR LA MACRO ImportarTareasDesdeJSON</t>
        </is>
      </c>
    </row>
    <row r="14" ht="16" customHeight="1" s="78">
      <c r="B14" s="146" t="inlineStr">
        <is>
          <t>Paso 1:  Presione  Alt + F11  para abrir el Editor de Visual Basic (VBA)</t>
        </is>
      </c>
    </row>
    <row r="15" ht="16" customHeight="1" s="78">
      <c r="B15" s="146" t="inlineStr">
        <is>
          <t>Paso 2:  En el panel izquierdo, busque su proyecto → doble clic en el Módulo donde está ExportarDashboard</t>
        </is>
      </c>
    </row>
    <row r="16" ht="16" customHeight="1" s="78">
      <c r="B16" s="146" t="inlineStr">
        <is>
          <t>Paso 3:  Baje hasta el FINAL del código existente (después de la última Function)</t>
        </is>
      </c>
    </row>
    <row r="17" ht="16" customHeight="1" s="78">
      <c r="B17" s="146" t="inlineStr">
        <is>
          <t>Paso 4:  Copie TODO el código de la sección "CÓDIGO VBA A COPIAR" de abajo y péguelo al final</t>
        </is>
      </c>
    </row>
    <row r="18" ht="16" customHeight="1" s="78">
      <c r="B18" s="146" t="inlineStr">
        <is>
          <t>Paso 5:  Presione  Ctrl + S  para guardar (puede pedir confirmar formato .xlsm)</t>
        </is>
      </c>
    </row>
    <row r="19" ht="16" customHeight="1" s="78">
      <c r="B19" s="146" t="inlineStr">
        <is>
          <t>Paso 6:  Cierre el editor VBA con  Alt + Q  o simplemente cierre la ventana</t>
        </is>
      </c>
    </row>
    <row r="20" ht="16" customHeight="1" s="78">
      <c r="B20" s="146" t="inlineStr">
        <is>
          <t>Paso 7:  Para usar la macro: Alt + F8 → seleccione ImportarTareasDesdeJSON → Ejecutar</t>
        </is>
      </c>
    </row>
    <row r="22" ht="22" customHeight="1" s="78">
      <c r="B22" s="148" t="inlineStr">
        <is>
          <t>📋  CÓDIGO VBA A COPIAR — Seleccione todo el texto de abajo y cópielo al módulo VBA</t>
        </is>
      </c>
    </row>
    <row r="23" ht="14" customHeight="1" s="78">
      <c r="B23" s="149" t="inlineStr">
        <is>
          <t>' MACRO: ImportarTareasDesdeJSON</t>
        </is>
      </c>
    </row>
    <row r="24" ht="14" customHeight="1" s="78">
      <c r="B24" s="149" t="inlineStr">
        <is>
          <t>' Lee datos_otic_actualizado.json exportado desde el dashboard</t>
        </is>
      </c>
    </row>
    <row r="25" ht="14" customHeight="1" s="78">
      <c r="B25" s="149" t="inlineStr">
        <is>
          <t>' y actualiza automáticamente las hojas P1, P2, P3... con las</t>
        </is>
      </c>
    </row>
    <row r="26" ht="14" customHeight="1" s="78">
      <c r="B26" s="149" t="inlineStr">
        <is>
          <t>' tareas editadas desde el formulario HTML.</t>
        </is>
      </c>
    </row>
    <row r="27" ht="14" customHeight="1" s="78">
      <c r="B27" s="149" t="inlineStr">
        <is>
          <t>'</t>
        </is>
      </c>
    </row>
    <row r="28" ht="14" customHeight="1" s="78">
      <c r="B28" s="149" t="inlineStr">
        <is>
          <t>' USO:</t>
        </is>
      </c>
    </row>
    <row r="29" ht="14" customHeight="1" s="78">
      <c r="B29" s="149" t="inlineStr">
        <is>
          <t>'   1. En el dashboard HTML edite tareas y haga clic "Exportar JSON"</t>
        </is>
      </c>
    </row>
    <row r="30" ht="14" customHeight="1" s="78">
      <c r="B30" s="149" t="inlineStr">
        <is>
          <t>'   2. Guarde datos_otic_actualizado.json en la misma carpeta del Excel</t>
        </is>
      </c>
    </row>
    <row r="31" ht="14" customHeight="1" s="78">
      <c r="B31" s="149" t="inlineStr">
        <is>
          <t>'   3. Ejecute esta macro: Alt+F8 → ImportarTareasDesdeJSON → Ejecutar</t>
        </is>
      </c>
    </row>
    <row r="32" ht="14" customHeight="1" s="78">
      <c r="B32" s="149" t="inlineStr">
        <is>
          <t>' ============================================================</t>
        </is>
      </c>
    </row>
    <row r="33" ht="14" customHeight="1" s="78">
      <c r="B33" s="149" t="n"/>
    </row>
    <row r="34" ht="14" customHeight="1" s="78">
      <c r="B34" s="149" t="inlineStr">
        <is>
          <t>Sub ImportarTareasDesdeJSON()</t>
        </is>
      </c>
    </row>
    <row r="35" ht="14" customHeight="1" s="78">
      <c r="B35" s="149" t="inlineStr">
        <is>
          <t xml:space="preserve">    Dim filePath As String</t>
        </is>
      </c>
    </row>
    <row r="36" ht="14" customHeight="1" s="78">
      <c r="B36" s="149" t="inlineStr">
        <is>
          <t xml:space="preserve">    Dim fileNum As Integer</t>
        </is>
      </c>
    </row>
    <row r="37" ht="14" customHeight="1" s="78">
      <c r="B37" s="149" t="inlineStr">
        <is>
          <t xml:space="preserve">    Dim jsonRaw As String</t>
        </is>
      </c>
    </row>
    <row r="38" ht="14" customHeight="1" s="78">
      <c r="B38" s="149" t="inlineStr">
        <is>
          <t xml:space="preserve">    Dim linea As String</t>
        </is>
      </c>
    </row>
    <row r="39" ht="14" customHeight="1" s="78">
      <c r="B39" s="149" t="inlineStr">
        <is>
          <t xml:space="preserve">    Dim ws As Worksheet</t>
        </is>
      </c>
    </row>
    <row r="40" ht="14" customHeight="1" s="78">
      <c r="B40" s="149" t="inlineStr">
        <is>
          <t xml:space="preserve">    Dim pid As String</t>
        </is>
      </c>
    </row>
    <row r="41" ht="14" customHeight="1" s="78">
      <c r="B41" s="149" t="inlineStr">
        <is>
          <t xml:space="preserve">    Dim updated As Integer</t>
        </is>
      </c>
    </row>
    <row r="42" ht="14" customHeight="1" s="78">
      <c r="B42" s="149" t="inlineStr">
        <is>
          <t xml:space="preserve">    updated = 0</t>
        </is>
      </c>
    </row>
    <row r="43" ht="14" customHeight="1" s="78">
      <c r="B43" s="149" t="n"/>
    </row>
    <row r="44" ht="14" customHeight="1" s="78">
      <c r="B44" s="149" t="inlineStr">
        <is>
          <t xml:space="preserve">    ' Buscar archivo JSON exportado desde el dashboard</t>
        </is>
      </c>
    </row>
    <row r="45" ht="14" customHeight="1" s="78">
      <c r="B45" s="149" t="inlineStr">
        <is>
          <t xml:space="preserve">    filePath = ThisWorkbook.Path &amp; "\datos_otic_actualizado.json"</t>
        </is>
      </c>
    </row>
    <row r="46" ht="14" customHeight="1" s="78">
      <c r="B46" s="149" t="n"/>
    </row>
    <row r="47" ht="14" customHeight="1" s="78">
      <c r="B47" s="149" t="inlineStr">
        <is>
          <t xml:space="preserve">    If Dir(filePath) = "" Then</t>
        </is>
      </c>
    </row>
    <row r="48" ht="14" customHeight="1" s="78">
      <c r="B48" s="149" t="inlineStr">
        <is>
          <t xml:space="preserve">        ' Permitir al usuario buscar el archivo</t>
        </is>
      </c>
    </row>
    <row r="49" ht="14" customHeight="1" s="78">
      <c r="B49" s="149" t="inlineStr">
        <is>
          <t xml:space="preserve">        filePath = Application.GetOpenFilename( _</t>
        </is>
      </c>
    </row>
    <row r="50" ht="14" customHeight="1" s="78">
      <c r="B50" s="149" t="inlineStr">
        <is>
          <t xml:space="preserve">            FileFilter:="Archivos JSON (*.json), *.json", _</t>
        </is>
      </c>
    </row>
    <row r="51" ht="14" customHeight="1" s="78">
      <c r="B51" s="149" t="inlineStr">
        <is>
          <t xml:space="preserve">            Title:="Seleccionar datos_otic_actualizado.json")</t>
        </is>
      </c>
    </row>
    <row r="52" ht="14" customHeight="1" s="78">
      <c r="B52" s="149" t="inlineStr">
        <is>
          <t xml:space="preserve">        If filePath = "False" Then Exit Sub</t>
        </is>
      </c>
    </row>
    <row r="53" ht="14" customHeight="1" s="78">
      <c r="B53" s="149" t="inlineStr">
        <is>
          <t xml:space="preserve">    End If</t>
        </is>
      </c>
    </row>
    <row r="54" ht="14" customHeight="1" s="78">
      <c r="B54" s="149" t="n"/>
    </row>
    <row r="55" ht="14" customHeight="1" s="78">
      <c r="B55" s="149" t="inlineStr">
        <is>
          <t xml:space="preserve">    ' Leer todo el JSON</t>
        </is>
      </c>
    </row>
    <row r="56" ht="14" customHeight="1" s="78">
      <c r="B56" s="149" t="inlineStr">
        <is>
          <t xml:space="preserve">    fileNum = FreeFile()</t>
        </is>
      </c>
    </row>
    <row r="57" ht="14" customHeight="1" s="78">
      <c r="B57" s="149" t="inlineStr">
        <is>
          <t xml:space="preserve">    Open filePath For Input As #fileNum</t>
        </is>
      </c>
    </row>
    <row r="58" ht="14" customHeight="1" s="78">
      <c r="B58" s="149" t="inlineStr">
        <is>
          <t xml:space="preserve">    Dim chunk As String</t>
        </is>
      </c>
    </row>
    <row r="59" ht="14" customHeight="1" s="78">
      <c r="B59" s="149" t="inlineStr">
        <is>
          <t xml:space="preserve">    Do While Not EOF(fileNum)</t>
        </is>
      </c>
    </row>
    <row r="60" ht="14" customHeight="1" s="78">
      <c r="B60" s="149" t="inlineStr">
        <is>
          <t xml:space="preserve">        Line Input #fileNum, chunk</t>
        </is>
      </c>
    </row>
    <row r="61" ht="14" customHeight="1" s="78">
      <c r="B61" s="149" t="inlineStr">
        <is>
          <t xml:space="preserve">        jsonRaw = jsonRaw &amp; chunk &amp; vbNewLine</t>
        </is>
      </c>
    </row>
    <row r="62" ht="14" customHeight="1" s="78">
      <c r="B62" s="149" t="inlineStr">
        <is>
          <t xml:space="preserve">    Loop</t>
        </is>
      </c>
    </row>
    <row r="63" ht="14" customHeight="1" s="78">
      <c r="B63" s="149" t="inlineStr">
        <is>
          <t xml:space="preserve">    Close #fileNum</t>
        </is>
      </c>
    </row>
    <row r="64" ht="14" customHeight="1" s="78">
      <c r="B64" s="149" t="n"/>
    </row>
    <row r="65" ht="14" customHeight="1" s="78">
      <c r="B65" s="149" t="inlineStr">
        <is>
          <t xml:space="preserve">    If Len(jsonRaw) &lt; 10 Then</t>
        </is>
      </c>
    </row>
    <row r="66" ht="14" customHeight="1" s="78">
      <c r="B66" s="149" t="inlineStr">
        <is>
          <t xml:space="preserve">        MsgBox "El archivo JSON parece estar vacío o dañado.", vbCritical</t>
        </is>
      </c>
    </row>
    <row r="67" ht="14" customHeight="1" s="78">
      <c r="B67" s="149" t="inlineStr">
        <is>
          <t xml:space="preserve">        Exit Sub</t>
        </is>
      </c>
    </row>
    <row r="68" ht="14" customHeight="1" s="78">
      <c r="B68" s="149" t="inlineStr">
        <is>
          <t xml:space="preserve">    End If</t>
        </is>
      </c>
    </row>
    <row r="69" ht="14" customHeight="1" s="78">
      <c r="B69" s="149" t="n"/>
    </row>
    <row r="70" ht="14" customHeight="1" s="78">
      <c r="B70" s="149" t="inlineStr">
        <is>
          <t xml:space="preserve">    ' Recorrer cada hoja de proyecto P1...P28</t>
        </is>
      </c>
    </row>
    <row r="71" ht="14" customHeight="1" s="78">
      <c r="B71" s="149" t="inlineStr">
        <is>
          <t xml:space="preserve">    For Each ws In ThisWorkbook.Worksheets</t>
        </is>
      </c>
    </row>
    <row r="72" ht="14" customHeight="1" s="78">
      <c r="B72" s="149" t="inlineStr">
        <is>
          <t xml:space="preserve">        pid = ws.Name</t>
        </is>
      </c>
    </row>
    <row r="73" ht="14" customHeight="1" s="78">
      <c r="B73" s="149" t="inlineStr">
        <is>
          <t xml:space="preserve">        If Left(pid, 1) = "P" And IsNumeric(Mid(pid, 2)) Then</t>
        </is>
      </c>
    </row>
    <row r="74" ht="14" customHeight="1" s="78">
      <c r="B74" s="149" t="inlineStr">
        <is>
          <t xml:space="preserve">            Dim blockStart As Long</t>
        </is>
      </c>
    </row>
    <row r="75" ht="14" customHeight="1" s="78">
      <c r="B75" s="149" t="inlineStr">
        <is>
          <t xml:space="preserve">            blockStart = InStr(jsonRaw, """id"": """ &amp; pid &amp; """")</t>
        </is>
      </c>
    </row>
    <row r="76" ht="14" customHeight="1" s="78">
      <c r="B76" s="149" t="inlineStr">
        <is>
          <t xml:space="preserve">            If blockStart &gt; 0 Then</t>
        </is>
      </c>
    </row>
    <row r="77" ht="14" customHeight="1" s="78">
      <c r="B77" s="149" t="inlineStr">
        <is>
          <t xml:space="preserve">                ' Encontrar el array de tareas de este proyecto</t>
        </is>
      </c>
    </row>
    <row r="78" ht="14" customHeight="1" s="78">
      <c r="B78" s="149" t="inlineStr">
        <is>
          <t xml:space="preserve">                Dim tareasPos As Long</t>
        </is>
      </c>
    </row>
    <row r="79" ht="14" customHeight="1" s="78">
      <c r="B79" s="149" t="inlineStr">
        <is>
          <t xml:space="preserve">                tareasPos = InStr(blockStart, jsonRaw, """tareas"": [")</t>
        </is>
      </c>
    </row>
    <row r="80" ht="14" customHeight="1" s="78">
      <c r="B80" s="149" t="n"/>
    </row>
    <row r="81" ht="14" customHeight="1" s="78">
      <c r="B81" s="149" t="inlineStr">
        <is>
          <t xml:space="preserve">                ' Asegurarse de que sea el bloque de este proyecto</t>
        </is>
      </c>
    </row>
    <row r="82" ht="14" customHeight="1" s="78">
      <c r="B82" s="149" t="inlineStr">
        <is>
          <t xml:space="preserve">                Dim nextProj As Long</t>
        </is>
      </c>
    </row>
    <row r="83" ht="14" customHeight="1" s="78">
      <c r="B83" s="149" t="inlineStr">
        <is>
          <t xml:space="preserve">                nextProj = InStr(blockStart + 1, jsonRaw, """id"": ""P")</t>
        </is>
      </c>
    </row>
    <row r="84" ht="14" customHeight="1" s="78">
      <c r="B84" s="149" t="inlineStr">
        <is>
          <t xml:space="preserve">                If nextProj = 0 Then nextProj = Len(jsonRaw)</t>
        </is>
      </c>
    </row>
    <row r="85" ht="14" customHeight="1" s="78">
      <c r="B85" s="149" t="n"/>
    </row>
    <row r="86" ht="14" customHeight="1" s="78">
      <c r="B86" s="149" t="inlineStr">
        <is>
          <t xml:space="preserve">                If tareasPos &gt; 0 And tareasPos &lt; nextProj Then</t>
        </is>
      </c>
    </row>
    <row r="87" ht="14" customHeight="1" s="78">
      <c r="B87" s="149" t="inlineStr">
        <is>
          <t xml:space="preserve">                    ' Extraer el bloque de tareas</t>
        </is>
      </c>
    </row>
    <row r="88" ht="14" customHeight="1" s="78">
      <c r="B88" s="149" t="inlineStr">
        <is>
          <t xml:space="preserve">                    Dim tareasBlock As String</t>
        </is>
      </c>
    </row>
    <row r="89" ht="14" customHeight="1" s="78">
      <c r="B89" s="149" t="inlineStr">
        <is>
          <t xml:space="preserve">                    Dim tareasEnd As Long</t>
        </is>
      </c>
    </row>
    <row r="90" ht="14" customHeight="1" s="78">
      <c r="B90" s="149" t="inlineStr">
        <is>
          <t xml:space="preserve">                    tareasEnd = InStr(tareasPos, jsonRaw, "]")</t>
        </is>
      </c>
    </row>
    <row r="91" ht="14" customHeight="1" s="78">
      <c r="B91" s="149" t="inlineStr">
        <is>
          <t xml:space="preserve">                    tareasBlock = Mid(jsonRaw, tareasPos, tareasEnd - tareasPos + 1)</t>
        </is>
      </c>
    </row>
    <row r="92" ht="14" customHeight="1" s="78">
      <c r="B92" s="149" t="n"/>
    </row>
    <row r="93" ht="14" customHeight="1" s="78">
      <c r="B93" s="149" t="inlineStr">
        <is>
          <t xml:space="preserve">                    ' Limpiar filas de tareas existentes (4-18)</t>
        </is>
      </c>
    </row>
    <row r="94" ht="14" customHeight="1" s="78">
      <c r="B94" s="149" t="inlineStr">
        <is>
          <t xml:space="preserve">                    Dim r As Integer</t>
        </is>
      </c>
    </row>
    <row r="95" ht="14" customHeight="1" s="78">
      <c r="B95" s="149" t="inlineStr">
        <is>
          <t xml:space="preserve">                    For r = 4 To 18</t>
        </is>
      </c>
    </row>
    <row r="96" ht="14" customHeight="1" s="78">
      <c r="B96" s="149" t="inlineStr">
        <is>
          <t xml:space="preserve">                        ws.Cells(r, 3).ClearContents  ' FASE</t>
        </is>
      </c>
    </row>
    <row r="97" ht="14" customHeight="1" s="78">
      <c r="B97" s="149" t="inlineStr">
        <is>
          <t xml:space="preserve">                        ws.Cells(r, 4).ClearContents  ' NOMBRE</t>
        </is>
      </c>
    </row>
    <row r="98" ht="14" customHeight="1" s="78">
      <c r="B98" s="149" t="inlineStr">
        <is>
          <t xml:space="preserve">                        ws.Cells(r, 5).ClearContents  ' F.INICIO</t>
        </is>
      </c>
    </row>
    <row r="99" ht="14" customHeight="1" s="78">
      <c r="B99" s="149" t="inlineStr">
        <is>
          <t xml:space="preserve">                        ws.Cells(r, 6).ClearContents  ' F.FIN</t>
        </is>
      </c>
    </row>
    <row r="100" ht="14" customHeight="1" s="78">
      <c r="B100" s="149" t="inlineStr">
        <is>
          <t xml:space="preserve">                        ws.Cells(r, 8).ClearContents  ' %AVANCE</t>
        </is>
      </c>
    </row>
    <row r="101" ht="14" customHeight="1" s="78">
      <c r="B101" s="149" t="inlineStr">
        <is>
          <t xml:space="preserve">                    Next r</t>
        </is>
      </c>
    </row>
    <row r="102" ht="14" customHeight="1" s="78">
      <c r="B102" s="149" t="n"/>
    </row>
    <row r="103" ht="14" customHeight="1" s="78">
      <c r="B103" s="149" t="inlineStr">
        <is>
          <t xml:space="preserve">                    ' Escribir las tareas del JSON en la hoja</t>
        </is>
      </c>
    </row>
    <row r="104" ht="14" customHeight="1" s="78">
      <c r="B104" s="149" t="inlineStr">
        <is>
          <t xml:space="preserve">                    Call _EscribirTareas(ws, tareasBlock)</t>
        </is>
      </c>
    </row>
    <row r="105" ht="14" customHeight="1" s="78">
      <c r="B105" s="149" t="inlineStr">
        <is>
          <t xml:space="preserve">                    updated = updated + 1</t>
        </is>
      </c>
    </row>
    <row r="106" ht="14" customHeight="1" s="78">
      <c r="B106" s="149" t="inlineStr">
        <is>
          <t xml:space="preserve">                End If</t>
        </is>
      </c>
    </row>
    <row r="107" ht="14" customHeight="1" s="78">
      <c r="B107" s="149" t="inlineStr">
        <is>
          <t xml:space="preserve">            End If</t>
        </is>
      </c>
    </row>
    <row r="108" ht="14" customHeight="1" s="78">
      <c r="B108" s="149" t="inlineStr">
        <is>
          <t xml:space="preserve">        End If</t>
        </is>
      </c>
    </row>
    <row r="109" ht="14" customHeight="1" s="78">
      <c r="B109" s="149" t="inlineStr">
        <is>
          <t xml:space="preserve">    Next ws</t>
        </is>
      </c>
    </row>
    <row r="110" ht="14" customHeight="1" s="78">
      <c r="B110" s="149" t="n"/>
    </row>
    <row r="111" ht="14" customHeight="1" s="78">
      <c r="B111" s="149" t="inlineStr">
        <is>
          <t xml:space="preserve">    If updated = 0 Then</t>
        </is>
      </c>
    </row>
    <row r="112" ht="14" customHeight="1" s="78">
      <c r="B112" s="149" t="inlineStr">
        <is>
          <t xml:space="preserve">        MsgBox "No se encontraron proyectos para actualizar." &amp; vbNewLine &amp; _</t>
        </is>
      </c>
    </row>
    <row r="113" ht="14" customHeight="1" s="78">
      <c r="B113" s="149" t="inlineStr">
        <is>
          <t xml:space="preserve">               "Verifique que el JSON sea el correcto.", vbExclamation</t>
        </is>
      </c>
    </row>
    <row r="114" ht="14" customHeight="1" s="78">
      <c r="B114" s="149" t="inlineStr">
        <is>
          <t xml:space="preserve">    Else</t>
        </is>
      </c>
    </row>
    <row r="115" ht="14" customHeight="1" s="78">
      <c r="B115" s="149" t="inlineStr">
        <is>
          <t xml:space="preserve">        MsgBox "✅ Importación completada correctamente." &amp; vbNewLine &amp; vbNewLine &amp; _</t>
        </is>
      </c>
    </row>
    <row r="116" ht="14" customHeight="1" s="78">
      <c r="B116" s="149" t="inlineStr">
        <is>
          <t xml:space="preserve">               updated &amp; " hojas de proyecto actualizadas." &amp; vbNewLine &amp; _</t>
        </is>
      </c>
    </row>
    <row r="117" ht="14" customHeight="1" s="78">
      <c r="B117" s="149" t="inlineStr">
        <is>
          <t xml:space="preserve">               "Recuerde ejecutar ExportarDashboard para regenerar el JSON.", _</t>
        </is>
      </c>
    </row>
    <row r="118" ht="14" customHeight="1" s="78">
      <c r="B118" s="149" t="inlineStr">
        <is>
          <t xml:space="preserve">               vbInformation, "Importación Exitosa — OTIC"</t>
        </is>
      </c>
    </row>
    <row r="119" ht="14" customHeight="1" s="78">
      <c r="B119" s="149" t="inlineStr">
        <is>
          <t xml:space="preserve">    End If</t>
        </is>
      </c>
    </row>
    <row r="120" ht="14" customHeight="1" s="78">
      <c r="B120" s="149" t="inlineStr">
        <is>
          <t>End Sub</t>
        </is>
      </c>
    </row>
    <row r="121" ht="14" customHeight="1" s="78">
      <c r="B121" s="149" t="n"/>
    </row>
    <row r="122" ht="14" customHeight="1" s="78">
      <c r="B122" s="149" t="inlineStr">
        <is>
          <t>' ----------------------------------------------------------</t>
        </is>
      </c>
    </row>
    <row r="123" ht="14" customHeight="1" s="78">
      <c r="B123" s="149" t="inlineStr">
        <is>
          <t>' Escribe las tareas del JSON en la hoja del proyecto</t>
        </is>
      </c>
    </row>
    <row r="124" ht="14" customHeight="1" s="78">
      <c r="B124" s="149" t="inlineStr">
        <is>
          <t>' ----------------------------------------------------------</t>
        </is>
      </c>
    </row>
    <row r="125" ht="14" customHeight="1" s="78">
      <c r="B125" s="149" t="inlineStr">
        <is>
          <t>Private Sub _EscribirTareas(ws As Worksheet, tareasBlock As String)</t>
        </is>
      </c>
    </row>
    <row r="126" ht="14" customHeight="1" s="78">
      <c r="B126" s="149" t="inlineStr">
        <is>
          <t xml:space="preserve">    Dim fila As Integer</t>
        </is>
      </c>
    </row>
    <row r="127" ht="14" customHeight="1" s="78">
      <c r="B127" s="149" t="inlineStr">
        <is>
          <t xml:space="preserve">    Dim pos As Long</t>
        </is>
      </c>
    </row>
    <row r="128" ht="14" customHeight="1" s="78">
      <c r="B128" s="149" t="inlineStr">
        <is>
          <t xml:space="preserve">    fila = 4</t>
        </is>
      </c>
    </row>
    <row r="129" ht="14" customHeight="1" s="78">
      <c r="B129" s="149" t="inlineStr">
        <is>
          <t xml:space="preserve">    pos = 1</t>
        </is>
      </c>
    </row>
    <row r="130" ht="14" customHeight="1" s="78">
      <c r="B130" s="149" t="n"/>
    </row>
    <row r="131" ht="14" customHeight="1" s="78">
      <c r="B131" s="149" t="inlineStr">
        <is>
          <t xml:space="preserve">    Do While fila &lt;= 18</t>
        </is>
      </c>
    </row>
    <row r="132" ht="14" customHeight="1" s="78">
      <c r="B132" s="149" t="inlineStr">
        <is>
          <t xml:space="preserve">        ' Buscar siguiente objeto de tarea {</t>
        </is>
      </c>
    </row>
    <row r="133" ht="14" customHeight="1" s="78">
      <c r="B133" s="149" t="inlineStr">
        <is>
          <t xml:space="preserve">        Dim nextObj As Long</t>
        </is>
      </c>
    </row>
    <row r="134" ht="14" customHeight="1" s="78">
      <c r="B134" s="149" t="inlineStr">
        <is>
          <t xml:space="preserve">        nextObj = InStr(pos, tareasBlock, "{""num"":")</t>
        </is>
      </c>
    </row>
    <row r="135" ht="14" customHeight="1" s="78">
      <c r="B135" s="149" t="inlineStr">
        <is>
          <t xml:space="preserve">        If nextObj = 0 Then nextObj = InStr(pos, tareasBlock, "{" &amp; Chr(10) &amp; "      {""num""")</t>
        </is>
      </c>
    </row>
    <row r="136" ht="14" customHeight="1" s="78">
      <c r="B136" s="149" t="inlineStr">
        <is>
          <t xml:space="preserve">        If nextObj = 0 Then Exit Do</t>
        </is>
      </c>
    </row>
    <row r="137" ht="14" customHeight="1" s="78">
      <c r="B137" s="149" t="inlineStr">
        <is>
          <t xml:space="preserve">        pos = nextObj</t>
        </is>
      </c>
    </row>
    <row r="138" ht="14" customHeight="1" s="78">
      <c r="B138" s="149" t="n"/>
    </row>
    <row r="139" ht="14" customHeight="1" s="78">
      <c r="B139" s="149" t="inlineStr">
        <is>
          <t xml:space="preserve">        ' Extraer el bloque de esta tarea (hasta el siguiente })</t>
        </is>
      </c>
    </row>
    <row r="140" ht="14" customHeight="1" s="78">
      <c r="B140" s="149" t="inlineStr">
        <is>
          <t xml:space="preserve">        Dim objEnd As Long</t>
        </is>
      </c>
    </row>
    <row r="141" ht="14" customHeight="1" s="78">
      <c r="B141" s="149" t="inlineStr">
        <is>
          <t xml:space="preserve">        objEnd = InStr(pos + 1, tareasBlock, "}")</t>
        </is>
      </c>
    </row>
    <row r="142" ht="14" customHeight="1" s="78">
      <c r="B142" s="149" t="inlineStr">
        <is>
          <t xml:space="preserve">        If objEnd = 0 Then Exit Do</t>
        </is>
      </c>
    </row>
    <row r="143" ht="14" customHeight="1" s="78">
      <c r="B143" s="149" t="inlineStr">
        <is>
          <t xml:space="preserve">        Dim objStr As String</t>
        </is>
      </c>
    </row>
    <row r="144" ht="14" customHeight="1" s="78">
      <c r="B144" s="149" t="inlineStr">
        <is>
          <t xml:space="preserve">        objStr = Mid(tareasBlock, pos, objEnd - pos + 1)</t>
        </is>
      </c>
    </row>
    <row r="145" ht="14" customHeight="1" s="78">
      <c r="B145" s="149" t="n"/>
    </row>
    <row r="146" ht="14" customHeight="1" s="78">
      <c r="B146" s="149" t="inlineStr">
        <is>
          <t xml:space="preserve">        ' Extraer campos</t>
        </is>
      </c>
    </row>
    <row r="147" ht="14" customHeight="1" s="78">
      <c r="B147" s="149" t="inlineStr">
        <is>
          <t xml:space="preserve">        Dim fase As String:   fase   = _ExtStr(objStr, "fase")</t>
        </is>
      </c>
    </row>
    <row r="148" ht="14" customHeight="1" s="78">
      <c r="B148" s="149" t="inlineStr">
        <is>
          <t xml:space="preserve">        Dim nombre As String: nombre = _ExtStr(objStr, "nombre")</t>
        </is>
      </c>
    </row>
    <row r="149" ht="14" customHeight="1" s="78">
      <c r="B149" s="149" t="inlineStr">
        <is>
          <t xml:space="preserve">        Dim inicio As String: inicio = _ExtStr(objStr, "inicio")</t>
        </is>
      </c>
    </row>
    <row r="150" ht="14" customHeight="1" s="78">
      <c r="B150" s="149" t="inlineStr">
        <is>
          <t xml:space="preserve">        Dim fin As String:    fin    = _ExtStr(objStr, "fin")</t>
        </is>
      </c>
    </row>
    <row r="151" ht="14" customHeight="1" s="78">
      <c r="B151" s="149" t="inlineStr">
        <is>
          <t xml:space="preserve">        Dim avance As Long:   avance = CLng0(_ExtNum(objStr, "avance"))</t>
        </is>
      </c>
    </row>
    <row r="152" ht="14" customHeight="1" s="78">
      <c r="B152" s="149" t="n"/>
    </row>
    <row r="153" ht="14" customHeight="1" s="78">
      <c r="B153" s="149" t="inlineStr">
        <is>
          <t xml:space="preserve">        ' Solo escribir si hay nombre</t>
        </is>
      </c>
    </row>
    <row r="154" ht="14" customHeight="1" s="78">
      <c r="B154" s="149" t="inlineStr">
        <is>
          <t xml:space="preserve">        If Len(Trim(nombre)) &gt; 0 Then</t>
        </is>
      </c>
    </row>
    <row r="155" ht="14" customHeight="1" s="78">
      <c r="B155" s="149" t="inlineStr">
        <is>
          <t xml:space="preserve">            ws.Cells(fila, 3).Value = fase</t>
        </is>
      </c>
    </row>
    <row r="156" ht="14" customHeight="1" s="78">
      <c r="B156" s="149" t="inlineStr">
        <is>
          <t xml:space="preserve">            ws.Cells(fila, 4).Value = nombre</t>
        </is>
      </c>
    </row>
    <row r="157" ht="14" customHeight="1" s="78">
      <c r="B157" s="149" t="inlineStr">
        <is>
          <t xml:space="preserve">            If Len(inicio) = 10 Then</t>
        </is>
      </c>
    </row>
    <row r="158" ht="14" customHeight="1" s="78">
      <c r="B158" s="149" t="inlineStr">
        <is>
          <t xml:space="preserve">                ws.Cells(fila, 5).Value = CDate(inicio)</t>
        </is>
      </c>
    </row>
    <row r="159" ht="14" customHeight="1" s="78">
      <c r="B159" s="149" t="inlineStr">
        <is>
          <t xml:space="preserve">                ws.Cells(fila, 5).NumberFormat = "DD/MM/YYYY"</t>
        </is>
      </c>
    </row>
    <row r="160" ht="14" customHeight="1" s="78">
      <c r="B160" s="149" t="inlineStr">
        <is>
          <t xml:space="preserve">            End If</t>
        </is>
      </c>
    </row>
    <row r="161" ht="14" customHeight="1" s="78">
      <c r="B161" s="149" t="inlineStr">
        <is>
          <t xml:space="preserve">            If Len(fin) = 10 Then</t>
        </is>
      </c>
    </row>
    <row r="162" ht="14" customHeight="1" s="78">
      <c r="B162" s="149" t="inlineStr">
        <is>
          <t xml:space="preserve">                ws.Cells(fila, 6).Value = CDate(fin)</t>
        </is>
      </c>
    </row>
    <row r="163" ht="14" customHeight="1" s="78">
      <c r="B163" s="149" t="inlineStr">
        <is>
          <t xml:space="preserve">                ws.Cells(fila, 6).NumberFormat = "DD/MM/YYYY"</t>
        </is>
      </c>
    </row>
    <row r="164" ht="14" customHeight="1" s="78">
      <c r="B164" s="149" t="inlineStr">
        <is>
          <t xml:space="preserve">            End If</t>
        </is>
      </c>
    </row>
    <row r="165" ht="14" customHeight="1" s="78">
      <c r="B165" s="149" t="inlineStr">
        <is>
          <t xml:space="preserve">            ws.Cells(fila, 8).Value = avance</t>
        </is>
      </c>
    </row>
    <row r="166" ht="14" customHeight="1" s="78">
      <c r="B166" s="149" t="inlineStr">
        <is>
          <t xml:space="preserve">            fila = fila + 1</t>
        </is>
      </c>
    </row>
    <row r="167" ht="14" customHeight="1" s="78">
      <c r="B167" s="149" t="inlineStr">
        <is>
          <t xml:space="preserve">        End If</t>
        </is>
      </c>
    </row>
    <row r="168" ht="14" customHeight="1" s="78">
      <c r="B168" s="149" t="n"/>
    </row>
    <row r="169" ht="14" customHeight="1" s="78">
      <c r="B169" s="149" t="inlineStr">
        <is>
          <t xml:space="preserve">        pos = objEnd + 1</t>
        </is>
      </c>
    </row>
    <row r="170" ht="14" customHeight="1" s="78">
      <c r="B170" s="149" t="inlineStr">
        <is>
          <t xml:space="preserve">    Loop</t>
        </is>
      </c>
    </row>
    <row r="171" ht="14" customHeight="1" s="78">
      <c r="B171" s="149" t="inlineStr">
        <is>
          <t>End Sub</t>
        </is>
      </c>
    </row>
    <row r="172" ht="14" customHeight="1" s="78">
      <c r="B172" s="149" t="n"/>
    </row>
    <row r="173" ht="14" customHeight="1" s="78">
      <c r="B173" s="149" t="inlineStr">
        <is>
          <t>' ----------------------------------------------------------</t>
        </is>
      </c>
    </row>
    <row r="174" ht="14" customHeight="1" s="78">
      <c r="B174" s="149" t="inlineStr">
        <is>
          <t>' Extrae valor string de un campo JSON: "campo": "valor"</t>
        </is>
      </c>
    </row>
    <row r="175" ht="14" customHeight="1" s="78">
      <c r="B175" s="149" t="inlineStr">
        <is>
          <t>' ----------------------------------------------------------</t>
        </is>
      </c>
    </row>
    <row r="176" ht="14" customHeight="1" s="78">
      <c r="B176" s="149" t="inlineStr">
        <is>
          <t>Private Function _ExtStr(json As String, campo As String) As String</t>
        </is>
      </c>
    </row>
    <row r="177" ht="14" customHeight="1" s="78">
      <c r="B177" s="149" t="inlineStr">
        <is>
          <t xml:space="preserve">    Dim buscar As String</t>
        </is>
      </c>
    </row>
    <row r="178" ht="14" customHeight="1" s="78">
      <c r="B178" s="149" t="inlineStr">
        <is>
          <t xml:space="preserve">    buscar = """" &amp; campo &amp; """: """</t>
        </is>
      </c>
    </row>
    <row r="179" ht="14" customHeight="1" s="78">
      <c r="B179" s="149" t="inlineStr">
        <is>
          <t xml:space="preserve">    Dim p As Long</t>
        </is>
      </c>
    </row>
    <row r="180" ht="14" customHeight="1" s="78">
      <c r="B180" s="149" t="inlineStr">
        <is>
          <t xml:space="preserve">    p = InStr(json, buscar)</t>
        </is>
      </c>
    </row>
    <row r="181" ht="14" customHeight="1" s="78">
      <c r="B181" s="149" t="inlineStr">
        <is>
          <t xml:space="preserve">    If p = 0 Then _ExtStr = "": Exit Function</t>
        </is>
      </c>
    </row>
    <row r="182" ht="14" customHeight="1" s="78">
      <c r="B182" s="149" t="inlineStr">
        <is>
          <t xml:space="preserve">    p = p + Len(buscar)</t>
        </is>
      </c>
    </row>
    <row r="183" ht="14" customHeight="1" s="78">
      <c r="B183" s="149" t="inlineStr">
        <is>
          <t xml:space="preserve">    Dim q As Long</t>
        </is>
      </c>
    </row>
    <row r="184" ht="14" customHeight="1" s="78">
      <c r="B184" s="149" t="inlineStr">
        <is>
          <t xml:space="preserve">    q = InStr(p, json, """")</t>
        </is>
      </c>
    </row>
    <row r="185" ht="14" customHeight="1" s="78">
      <c r="B185" s="149" t="inlineStr">
        <is>
          <t xml:space="preserve">    If q = 0 Then _ExtStr = "": Exit Function</t>
        </is>
      </c>
    </row>
    <row r="186" ht="14" customHeight="1" s="78">
      <c r="B186" s="149" t="inlineStr">
        <is>
          <t xml:space="preserve">    _ExtStr = Mid(json, p, q - p)</t>
        </is>
      </c>
    </row>
    <row r="187" ht="14" customHeight="1" s="78">
      <c r="B187" s="149" t="inlineStr">
        <is>
          <t>End Function</t>
        </is>
      </c>
    </row>
    <row r="188" ht="14" customHeight="1" s="78">
      <c r="B188" s="149" t="n"/>
    </row>
    <row r="189" ht="14" customHeight="1" s="78">
      <c r="B189" s="149" t="inlineStr">
        <is>
          <t>' ----------------------------------------------------------</t>
        </is>
      </c>
    </row>
    <row r="190" ht="14" customHeight="1" s="78">
      <c r="B190" s="149" t="inlineStr">
        <is>
          <t>' Extrae valor numérico de un campo JSON: "campo": 42</t>
        </is>
      </c>
    </row>
    <row r="191" ht="14" customHeight="1" s="78">
      <c r="B191" s="149" t="inlineStr">
        <is>
          <t>' ----------------------------------------------------------</t>
        </is>
      </c>
    </row>
    <row r="192" ht="14" customHeight="1" s="78">
      <c r="B192" s="149" t="inlineStr">
        <is>
          <t>Private Function _ExtNum(json As String, campo As String) As String</t>
        </is>
      </c>
    </row>
    <row r="193" ht="14" customHeight="1" s="78">
      <c r="B193" s="149" t="inlineStr">
        <is>
          <t xml:space="preserve">    Dim buscar As String</t>
        </is>
      </c>
    </row>
    <row r="194" ht="14" customHeight="1" s="78">
      <c r="B194" s="149" t="inlineStr">
        <is>
          <t xml:space="preserve">    buscar = """" &amp; campo &amp; """: "</t>
        </is>
      </c>
    </row>
    <row r="195" ht="14" customHeight="1" s="78">
      <c r="B195" s="149" t="inlineStr">
        <is>
          <t xml:space="preserve">    Dim p As Long</t>
        </is>
      </c>
    </row>
    <row r="196" ht="14" customHeight="1" s="78">
      <c r="B196" s="149" t="inlineStr">
        <is>
          <t xml:space="preserve">    p = InStr(json, buscar)</t>
        </is>
      </c>
    </row>
    <row r="197" ht="14" customHeight="1" s="78">
      <c r="B197" s="149" t="inlineStr">
        <is>
          <t xml:space="preserve">    If p = 0 Then _ExtNum = "0": Exit Function</t>
        </is>
      </c>
    </row>
    <row r="198" ht="14" customHeight="1" s="78">
      <c r="B198" s="149" t="inlineStr">
        <is>
          <t xml:space="preserve">    p = p + Len(buscar)</t>
        </is>
      </c>
    </row>
    <row r="199" ht="14" customHeight="1" s="78">
      <c r="B199" s="149" t="inlineStr">
        <is>
          <t xml:space="preserve">    ' Termina en coma, llave, o salto de linea</t>
        </is>
      </c>
    </row>
    <row r="200" ht="14" customHeight="1" s="78">
      <c r="B200" s="149" t="inlineStr">
        <is>
          <t xml:space="preserve">    Dim i As Long</t>
        </is>
      </c>
    </row>
    <row r="201" ht="14" customHeight="1" s="78">
      <c r="B201" s="149" t="inlineStr">
        <is>
          <t xml:space="preserve">    For i = p To p + 20</t>
        </is>
      </c>
    </row>
    <row r="202" ht="14" customHeight="1" s="78">
      <c r="B202" s="149" t="inlineStr">
        <is>
          <t xml:space="preserve">        Dim c As String</t>
        </is>
      </c>
    </row>
    <row r="203" ht="14" customHeight="1" s="78">
      <c r="B203" s="149" t="inlineStr">
        <is>
          <t xml:space="preserve">        c = Mid(json, i, 1)</t>
        </is>
      </c>
    </row>
    <row r="204" ht="14" customHeight="1" s="78">
      <c r="B204" s="149" t="inlineStr">
        <is>
          <t xml:space="preserve">        If c = "," Or c = "}" Or c = Chr(10) Or c = Chr(13) Then</t>
        </is>
      </c>
    </row>
    <row r="205" ht="14" customHeight="1" s="78">
      <c r="B205" s="149" t="inlineStr">
        <is>
          <t xml:space="preserve">            _ExtNum = Trim(Mid(json, p, i - p))</t>
        </is>
      </c>
    </row>
    <row r="206" ht="14" customHeight="1" s="78">
      <c r="B206" s="149" t="inlineStr">
        <is>
          <t xml:space="preserve">            Exit Function</t>
        </is>
      </c>
    </row>
    <row r="207" ht="14" customHeight="1" s="78">
      <c r="B207" s="149" t="inlineStr">
        <is>
          <t xml:space="preserve">        End If</t>
        </is>
      </c>
    </row>
    <row r="208" ht="14" customHeight="1" s="78">
      <c r="B208" s="149" t="inlineStr">
        <is>
          <t xml:space="preserve">    Next i</t>
        </is>
      </c>
    </row>
    <row r="209" ht="14" customHeight="1" s="78">
      <c r="B209" s="149" t="inlineStr">
        <is>
          <t xml:space="preserve">    _ExtNum = "0"</t>
        </is>
      </c>
    </row>
    <row r="210" ht="14" customHeight="1" s="78">
      <c r="B210" s="149" t="inlineStr">
        <is>
          <t>End Function</t>
        </is>
      </c>
    </row>
    <row r="211" ht="14" customHeight="1" s="78">
      <c r="B211" s="149" t="n"/>
    </row>
    <row r="212" ht="14" customHeight="1" s="78">
      <c r="B212" s="149" t="inlineStr">
        <is>
          <t>' ----------------------------------------------------------</t>
        </is>
      </c>
    </row>
    <row r="213" ht="14" customHeight="1" s="78">
      <c r="B213" s="149" t="inlineStr">
        <is>
          <t>' Convierte string a Long sin error</t>
        </is>
      </c>
    </row>
    <row r="214" ht="14" customHeight="1" s="78">
      <c r="B214" s="149" t="inlineStr">
        <is>
          <t>' ----------------------------------------------------------</t>
        </is>
      </c>
    </row>
    <row r="215" ht="14" customHeight="1" s="78">
      <c r="B215" s="149" t="inlineStr">
        <is>
          <t>Private Function CLng0(s As String) As Long</t>
        </is>
      </c>
    </row>
    <row r="216" ht="14" customHeight="1" s="78">
      <c r="B216" s="149" t="inlineStr">
        <is>
          <t xml:space="preserve">    If IsNumeric(Trim(s)) Then CLng0 = CLng(Trim(s)) Else CLng0 = 0</t>
        </is>
      </c>
    </row>
    <row r="217" ht="14" customHeight="1" s="78">
      <c r="B217" s="149" t="inlineStr">
        <is>
          <t>End Function</t>
        </is>
      </c>
    </row>
    <row r="218" ht="14" customHeight="1" s="78">
      <c r="B218" s="149" t="n"/>
    </row>
    <row r="221">
      <c r="B221" s="150" t="inlineStr">
        <is>
          <t>💡  ALTERNATIVA: También puede importar el archivo ModuloOTIC_Completo.bas directamente</t>
        </is>
      </c>
      <c r="C221" s="146" t="inlineStr">
        <is>
          <t>En el Editor VBA: clic derecho en VBAProject → Importar archivo → seleccione ModuloOTIC_Completo.bas</t>
        </is>
      </c>
    </row>
    <row r="222">
      <c r="B222" s="151" t="inlineStr">
        <is>
          <t>⚠️  Si importa el .bas completo, elimine primero el módulo existente para evitar duplicados</t>
        </is>
      </c>
    </row>
  </sheetData>
  <mergeCells count="2">
    <mergeCell ref="B1:C1"/>
    <mergeCell ref="B2:C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Hoja4">
    <outlinePr summaryBelow="1" summaryRight="1"/>
    <pageSetUpPr/>
  </sheetPr>
  <dimension ref="B2:H34"/>
  <sheetViews>
    <sheetView showGridLines="0" topLeftCell="A7" zoomScaleNormal="100" workbookViewId="0">
      <selection activeCell="D10" sqref="D10"/>
    </sheetView>
  </sheetViews>
  <sheetFormatPr baseColWidth="10" defaultColWidth="8.6328125" defaultRowHeight="14.5"/>
  <cols>
    <col width="3" customWidth="1" style="78" min="1" max="1"/>
    <col width="6" customWidth="1" style="78" min="2" max="2"/>
    <col width="30" customWidth="1" style="78" min="3" max="3"/>
    <col width="14" customWidth="1" style="78" min="4" max="5"/>
    <col width="12" customWidth="1" style="78" min="6" max="7"/>
    <col width="18" customWidth="1" style="78" min="8" max="8"/>
    <col width="3" customWidth="1" style="78" min="9" max="9"/>
  </cols>
  <sheetData>
    <row r="2" ht="31.5" customHeight="1" s="78">
      <c r="B2" s="91" t="inlineStr">
        <is>
          <t>📝  FORMULARIO DE INGRESO DE TAREAS</t>
        </is>
      </c>
    </row>
    <row r="3" ht="21.75" customHeight="1" s="78">
      <c r="B3" s="93" t="inlineStr">
        <is>
          <t>Complete los campos en amarillo. Los campos en gris se calculan automáticamente.</t>
        </is>
      </c>
    </row>
    <row r="5" ht="24" customHeight="1" s="78">
      <c r="B5" s="97" t="inlineStr">
        <is>
          <t>PROYECTO (ID):</t>
        </is>
      </c>
      <c r="E5" s="94" t="inlineStr">
        <is>
          <t>P1</t>
        </is>
      </c>
      <c r="F5" s="95" t="n"/>
      <c r="G5" s="95" t="n"/>
      <c r="H5" s="96" t="n"/>
    </row>
    <row r="6" ht="18" customHeight="1" s="78">
      <c r="B6" s="99" t="inlineStr">
        <is>
          <t>ℹ️  Ingrese el ID del proyecto (P1, P2, P3…) al que pertenecen estas tareas</t>
        </is>
      </c>
    </row>
    <row r="9" ht="30" customHeight="1" s="78">
      <c r="B9" s="1" t="inlineStr">
        <is>
          <t>#</t>
        </is>
      </c>
      <c r="C9" s="1" t="inlineStr">
        <is>
          <t>NOMBRE DE LA TAREA</t>
        </is>
      </c>
      <c r="D9" s="1" t="inlineStr">
        <is>
          <t>FECHA INICIO</t>
        </is>
      </c>
      <c r="E9" s="1" t="inlineStr">
        <is>
          <t>FECHA FIN
COMPROMETIDA</t>
        </is>
      </c>
      <c r="F9" s="1" t="inlineStr">
        <is>
          <t>DÍAS
RESTANTES</t>
        </is>
      </c>
      <c r="G9" s="1" t="inlineStr">
        <is>
          <t>% AVANCE</t>
        </is>
      </c>
      <c r="H9" s="1" t="inlineStr">
        <is>
          <t>ESTADO</t>
        </is>
      </c>
    </row>
    <row r="10" ht="21.75" customHeight="1" s="78">
      <c r="B10" s="2" t="n">
        <v>1</v>
      </c>
      <c r="C10" s="3" t="inlineStr">
        <is>
          <t>cd</t>
        </is>
      </c>
      <c r="D10" s="4" t="n"/>
      <c r="E10" s="5" t="n"/>
      <c r="F10" s="6">
        <f>IF(E10="","",E10-TODAY())</f>
        <v/>
      </c>
      <c r="G10" s="7" t="n"/>
      <c r="H10" s="8">
        <f>IF(C10="","",IF(G10=1,"✅ Completada",IF(F10="","—",IF(F10&gt;5,"🟢 En tiempo",IF(F10&gt;=1,"🟡 Por vencer","🔴 Vencida")))))</f>
        <v/>
      </c>
    </row>
    <row r="11" ht="21.75" customHeight="1" s="78">
      <c r="B11" s="2" t="n">
        <v>2</v>
      </c>
      <c r="C11" s="3" t="n"/>
      <c r="D11" s="4" t="n"/>
      <c r="E11" s="5" t="n"/>
      <c r="F11" s="6">
        <f>IF(E11="","",E11-TODAY())</f>
        <v/>
      </c>
      <c r="G11" s="7" t="n"/>
      <c r="H11" s="8">
        <f>IF(C11="","",IF(G11=1,"✅ Completada",IF(F11="","—",IF(F11&gt;5,"🟢 En tiempo",IF(F11&gt;=1,"🟡 Por vencer","🔴 Vencida")))))</f>
        <v/>
      </c>
    </row>
    <row r="12" ht="21.75" customHeight="1" s="78">
      <c r="B12" s="2" t="n">
        <v>3</v>
      </c>
      <c r="C12" s="3" t="n"/>
      <c r="D12" s="4" t="n"/>
      <c r="E12" s="5" t="n"/>
      <c r="F12" s="6">
        <f>IF(E12="","",E12-TODAY())</f>
        <v/>
      </c>
      <c r="G12" s="7" t="n"/>
      <c r="H12" s="8">
        <f>IF(C12="","",IF(G12=1,"✅ Completada",IF(F12="","—",IF(F12&gt;5,"🟢 En tiempo",IF(F12&gt;=1,"🟡 Por vencer","🔴 Vencida")))))</f>
        <v/>
      </c>
    </row>
    <row r="13" ht="21.75" customHeight="1" s="78">
      <c r="B13" s="2" t="n">
        <v>4</v>
      </c>
      <c r="C13" s="3" t="n"/>
      <c r="D13" s="4" t="n"/>
      <c r="E13" s="5" t="n"/>
      <c r="F13" s="6">
        <f>IF(E13="","",E13-TODAY())</f>
        <v/>
      </c>
      <c r="G13" s="7" t="n"/>
      <c r="H13" s="8">
        <f>IF(C13="","",IF(G13=1,"✅ Completada",IF(F13="","—",IF(F13&gt;5,"🟢 En tiempo",IF(F13&gt;=1,"🟡 Por vencer","🔴 Vencida")))))</f>
        <v/>
      </c>
    </row>
    <row r="14" ht="21.75" customHeight="1" s="78">
      <c r="B14" s="2" t="n">
        <v>5</v>
      </c>
      <c r="C14" s="3" t="n"/>
      <c r="D14" s="4" t="n"/>
      <c r="E14" s="5" t="n"/>
      <c r="F14" s="6">
        <f>IF(E14="","",E14-TODAY())</f>
        <v/>
      </c>
      <c r="G14" s="7" t="n"/>
      <c r="H14" s="8">
        <f>IF(C14="","",IF(G14=1,"✅ Completada",IF(F14="","—",IF(F14&gt;5,"🟢 En tiempo",IF(F14&gt;=1,"🟡 Por vencer","🔴 Vencida")))))</f>
        <v/>
      </c>
    </row>
    <row r="15" ht="21.75" customHeight="1" s="78">
      <c r="B15" s="2" t="n">
        <v>6</v>
      </c>
      <c r="C15" s="3" t="n"/>
      <c r="D15" s="4" t="n"/>
      <c r="E15" s="5" t="n"/>
      <c r="F15" s="6">
        <f>IF(E15="","",E15-TODAY())</f>
        <v/>
      </c>
      <c r="G15" s="7" t="n"/>
      <c r="H15" s="8">
        <f>IF(C15="","",IF(G15=1,"✅ Completada",IF(F15="","—",IF(F15&gt;5,"🟢 En tiempo",IF(F15&gt;=1,"🟡 Por vencer","🔴 Vencida")))))</f>
        <v/>
      </c>
    </row>
    <row r="16" ht="21.75" customHeight="1" s="78">
      <c r="B16" s="2" t="n">
        <v>7</v>
      </c>
      <c r="C16" s="3" t="n"/>
      <c r="D16" s="4" t="n"/>
      <c r="E16" s="5" t="n"/>
      <c r="F16" s="6">
        <f>IF(E16="","",E16-TODAY())</f>
        <v/>
      </c>
      <c r="G16" s="7" t="n"/>
      <c r="H16" s="8">
        <f>IF(C16="","",IF(G16=1,"✅ Completada",IF(F16="","—",IF(F16&gt;5,"🟢 En tiempo",IF(F16&gt;=1,"🟡 Por vencer","🔴 Vencida")))))</f>
        <v/>
      </c>
    </row>
    <row r="17" ht="21.75" customHeight="1" s="78">
      <c r="B17" s="2" t="n">
        <v>8</v>
      </c>
      <c r="C17" s="3" t="n"/>
      <c r="D17" s="4" t="n"/>
      <c r="E17" s="5" t="n"/>
      <c r="F17" s="6">
        <f>IF(E17="","",E17-TODAY())</f>
        <v/>
      </c>
      <c r="G17" s="7" t="n"/>
      <c r="H17" s="8">
        <f>IF(C17="","",IF(G17=1,"✅ Completada",IF(F17="","—",IF(F17&gt;5,"🟢 En tiempo",IF(F17&gt;=1,"🟡 Por vencer","🔴 Vencida")))))</f>
        <v/>
      </c>
    </row>
    <row r="18" ht="21.75" customHeight="1" s="78">
      <c r="B18" s="2" t="n">
        <v>9</v>
      </c>
      <c r="C18" s="3" t="n"/>
      <c r="D18" s="4" t="n"/>
      <c r="E18" s="5" t="n"/>
      <c r="F18" s="6">
        <f>IF(E18="","",E18-TODAY())</f>
        <v/>
      </c>
      <c r="G18" s="7" t="n"/>
      <c r="H18" s="8">
        <f>IF(C18="","",IF(G18=1,"✅ Completada",IF(F18="","—",IF(F18&gt;5,"🟢 En tiempo",IF(F18&gt;=1,"🟡 Por vencer","🔴 Vencida")))))</f>
        <v/>
      </c>
    </row>
    <row r="19" ht="21.75" customHeight="1" s="78">
      <c r="B19" s="2" t="n">
        <v>10</v>
      </c>
      <c r="C19" s="3" t="n"/>
      <c r="D19" s="4" t="n"/>
      <c r="E19" s="5" t="n"/>
      <c r="F19" s="6">
        <f>IF(E19="","",E19-TODAY())</f>
        <v/>
      </c>
      <c r="G19" s="7" t="n"/>
      <c r="H19" s="8">
        <f>IF(C19="","",IF(G19=1,"✅ Completada",IF(F19="","—",IF(F19&gt;5,"🟢 En tiempo",IF(F19&gt;=1,"🟡 Por vencer","🔴 Vencida")))))</f>
        <v/>
      </c>
    </row>
    <row r="20" ht="21.75" customHeight="1" s="78">
      <c r="B20" s="2" t="n">
        <v>11</v>
      </c>
      <c r="C20" s="3" t="n"/>
      <c r="D20" s="4" t="n"/>
      <c r="E20" s="5" t="n"/>
      <c r="F20" s="6">
        <f>IF(E20="","",E20-TODAY())</f>
        <v/>
      </c>
      <c r="G20" s="7" t="n"/>
      <c r="H20" s="8">
        <f>IF(C20="","",IF(G20=1,"✅ Completada",IF(F20="","—",IF(F20&gt;5,"🟢 En tiempo",IF(F20&gt;=1,"🟡 Por vencer","🔴 Vencida")))))</f>
        <v/>
      </c>
    </row>
    <row r="21" ht="21.75" customHeight="1" s="78">
      <c r="B21" s="2" t="n">
        <v>12</v>
      </c>
      <c r="C21" s="3" t="n"/>
      <c r="D21" s="4" t="n"/>
      <c r="E21" s="5" t="n"/>
      <c r="F21" s="6">
        <f>IF(E21="","",E21-TODAY())</f>
        <v/>
      </c>
      <c r="G21" s="7" t="n"/>
      <c r="H21" s="8">
        <f>IF(C21="","",IF(G21=1,"✅ Completada",IF(F21="","—",IF(F21&gt;5,"🟢 En tiempo",IF(F21&gt;=1,"🟡 Por vencer","🔴 Vencida")))))</f>
        <v/>
      </c>
    </row>
    <row r="22" ht="21.75" customHeight="1" s="78">
      <c r="B22" s="2" t="n">
        <v>13</v>
      </c>
      <c r="C22" s="3" t="n"/>
      <c r="D22" s="4" t="n"/>
      <c r="E22" s="5" t="n"/>
      <c r="F22" s="6">
        <f>IF(E22="","",E22-TODAY())</f>
        <v/>
      </c>
      <c r="G22" s="7" t="n"/>
      <c r="H22" s="8">
        <f>IF(C22="","",IF(G22=1,"✅ Completada",IF(F22="","—",IF(F22&gt;5,"🟢 En tiempo",IF(F22&gt;=1,"🟡 Por vencer","🔴 Vencida")))))</f>
        <v/>
      </c>
    </row>
    <row r="23" ht="21.75" customHeight="1" s="78">
      <c r="B23" s="2" t="n">
        <v>14</v>
      </c>
      <c r="C23" s="3" t="n"/>
      <c r="D23" s="4" t="n"/>
      <c r="E23" s="5" t="n"/>
      <c r="F23" s="6">
        <f>IF(E23="","",E23-TODAY())</f>
        <v/>
      </c>
      <c r="G23" s="7" t="n"/>
      <c r="H23" s="8">
        <f>IF(C23="","",IF(G23=1,"✅ Completada",IF(F23="","—",IF(F23&gt;5,"🟢 En tiempo",IF(F23&gt;=1,"🟡 Por vencer","🔴 Vencida")))))</f>
        <v/>
      </c>
    </row>
    <row r="24" ht="21.75" customHeight="1" s="78">
      <c r="B24" s="9" t="n">
        <v>15</v>
      </c>
      <c r="C24" s="10" t="n"/>
      <c r="D24" s="11" t="n"/>
      <c r="E24" s="12" t="n"/>
      <c r="F24" s="13">
        <f>IF(E24="","",E24-TODAY())</f>
        <v/>
      </c>
      <c r="G24" s="14" t="n"/>
      <c r="H24" s="15">
        <f>IF(C24="","",IF(G24=1,"✅ Completada",IF(F24="","—",IF(F24&gt;5,"🟢 En tiempo",IF(F24&gt;=1,"🟡 Por vencer","🔴 Vencida")))))</f>
        <v/>
      </c>
    </row>
    <row r="26" ht="19.5" customHeight="1" s="78">
      <c r="B26" s="98" t="inlineStr">
        <is>
          <t>📌  INSTRUCCIONES DE USO</t>
        </is>
      </c>
    </row>
    <row r="27" ht="15.75" customHeight="1" s="78">
      <c r="B27" s="92" t="inlineStr">
        <is>
          <t>1️⃣  Escriba el ID del proyecto arriba (celda E5) → Ej: P1, P2, P3…</t>
        </is>
      </c>
    </row>
    <row r="28" ht="15.75" customHeight="1" s="78">
      <c r="B28" s="92" t="inlineStr">
        <is>
          <t>2️⃣  Complete las columnas AMARILLAS: Nombre de Tarea, Fecha Inicio, Fecha Fin, % Avance</t>
        </is>
      </c>
    </row>
    <row r="29" ht="15.75" customHeight="1" s="78">
      <c r="B29" s="92" t="inlineStr">
        <is>
          <t>3️⃣  Las columnas GRISES se calcularán automáticamente:</t>
        </is>
      </c>
    </row>
    <row r="30" ht="15.75" customHeight="1" s="78">
      <c r="B30" s="92" t="inlineStr">
        <is>
          <t xml:space="preserve">     • Días Restantes = Fecha Fin - Hoy</t>
        </is>
      </c>
    </row>
    <row r="31" ht="15.75" customHeight="1" s="78">
      <c r="B31" s="92" t="inlineStr">
        <is>
          <t xml:space="preserve">     • Estado: 🟢 En tiempo (&gt;5 días) · 🟡 Por vencer (1-5 días) · 🔴 Vencida (&lt;=0 días) · ✅ Completada (100%)</t>
        </is>
      </c>
    </row>
    <row r="32" ht="15.75" customHeight="1" s="78">
      <c r="B32" s="92" t="inlineStr">
        <is>
          <t>4️⃣  Una vez completadas las tareas, copie esta información a la hoja del proyecto correspondiente (P1, P2, P3…)</t>
        </is>
      </c>
    </row>
    <row r="33" ht="7.5" customHeight="1" s="78">
      <c r="B33" s="92" t="n"/>
    </row>
    <row r="34" ht="15.75" customHeight="1" s="78">
      <c r="B34" s="92" t="inlineStr">
        <is>
          <t>💡 TIP: Puede agregar o quitar filas según necesite más o menos tareas.</t>
        </is>
      </c>
    </row>
  </sheetData>
  <mergeCells count="14">
    <mergeCell ref="B32:H32"/>
    <mergeCell ref="B5:D5"/>
    <mergeCell ref="B28:H28"/>
    <mergeCell ref="B26:H26"/>
    <mergeCell ref="B27:H27"/>
    <mergeCell ref="B6:H6"/>
    <mergeCell ref="B30:H30"/>
    <mergeCell ref="B2:H2"/>
    <mergeCell ref="B29:H29"/>
    <mergeCell ref="B33:H33"/>
    <mergeCell ref="B3:H3"/>
    <mergeCell ref="B34:H34"/>
    <mergeCell ref="E5:H5"/>
    <mergeCell ref="B31:H3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5">
    <outlinePr summaryBelow="1" summaryRight="1"/>
    <pageSetUpPr/>
  </sheetPr>
  <dimension ref="B2:H45"/>
  <sheetViews>
    <sheetView showGridLines="0" topLeftCell="A24" zoomScale="80" zoomScaleNormal="80" workbookViewId="0">
      <selection activeCell="D42" sqref="D42:F42"/>
    </sheetView>
  </sheetViews>
  <sheetFormatPr baseColWidth="10" defaultColWidth="8.6328125" defaultRowHeight="14.5"/>
  <cols>
    <col width="2" customWidth="1" style="78" min="1" max="1"/>
    <col width="35.453125" customWidth="1" style="78" min="2" max="2"/>
    <col width="24" customWidth="1" style="78" min="3" max="3"/>
    <col width="13" customWidth="1" style="78" min="4" max="5"/>
    <col width="11" customWidth="1" style="78" min="6" max="7"/>
    <col width="15" customWidth="1" style="78" min="8" max="8"/>
    <col width="2" customWidth="1" style="78" min="9" max="9"/>
  </cols>
  <sheetData>
    <row r="2" ht="33.75" customHeight="1" s="78">
      <c r="B2" s="109" t="inlineStr">
        <is>
          <t>📊  PORTAFOLIO OTIC — DASHBOARD DE GESTIÓN</t>
        </is>
      </c>
    </row>
    <row r="3" ht="3" customHeight="1" s="78">
      <c r="B3" s="100" t="n"/>
    </row>
    <row r="5" ht="25.5" customHeight="1" s="78">
      <c r="B5" s="16" t="inlineStr">
        <is>
          <t>▶ PROYECTO:</t>
        </is>
      </c>
      <c r="C5" s="17" t="inlineStr">
        <is>
          <t>P1</t>
        </is>
      </c>
      <c r="D5" s="115" t="inlineStr">
        <is>
          <t>← Escriba el ID (P1, P2 ... P29)</t>
        </is>
      </c>
      <c r="E5" s="116" t="n"/>
      <c r="F5" s="116" t="n"/>
      <c r="G5" s="116" t="n"/>
      <c r="H5" s="117" t="n"/>
    </row>
    <row r="7" ht="27.75" customHeight="1" s="78">
      <c r="B7" s="121">
        <f>IFERROR(C5&amp;"  |  "&amp;VLOOKUP(C5,'Data Original'!A:AC,3,0),"Proyecto no encontrado")</f>
        <v/>
      </c>
      <c r="C7" s="122" t="n"/>
      <c r="D7" s="122" t="n"/>
      <c r="E7" s="122" t="n"/>
      <c r="F7" s="122" t="n"/>
      <c r="G7" s="122" t="n"/>
      <c r="H7" s="123" t="n"/>
    </row>
    <row r="9" ht="18" customHeight="1" s="78">
      <c r="B9" s="101" t="inlineStr">
        <is>
          <t xml:space="preserve">  ⏱ VELOCÍMETROS — SEMÁFORO DE FECHAS CLAVE</t>
        </is>
      </c>
    </row>
    <row r="10" ht="18" customHeight="1" s="78">
      <c r="B10" s="114" t="inlineStr">
        <is>
          <t>INDICADOR</t>
        </is>
      </c>
      <c r="C10" s="114" t="inlineStr">
        <is>
          <t>FECHA META</t>
        </is>
      </c>
      <c r="D10" s="113" t="n"/>
      <c r="E10" s="114" t="inlineStr">
        <is>
          <t>DÍAS</t>
        </is>
      </c>
      <c r="F10" s="114" t="inlineStr">
        <is>
          <t>ESTADO / SEMÁFORO</t>
        </is>
      </c>
      <c r="G10" s="95" t="n"/>
      <c r="H10" s="113" t="n"/>
    </row>
    <row r="11" ht="24" customHeight="1" s="78">
      <c r="B11" s="18" t="inlineStr">
        <is>
          <t>📄 ENTREGA ABOGADO OTIC
6 días antes de Mesa</t>
        </is>
      </c>
      <c r="C11" s="107">
        <f>IFERROR(TEXT(VLOOKUP(C5,'Data Original'!A:AC,15,0),"DD/MM/YYYY"),"N/D")</f>
        <v/>
      </c>
      <c r="D11" s="106" t="n"/>
      <c r="E11" s="19">
        <f>IFERROR(VLOOKUP(C5,'Data Original'!A:AC,16,0),"—")</f>
        <v/>
      </c>
      <c r="F11" s="111">
        <f>IFERROR(IF(ISNUMBER(E11),IF(E11&gt;=20,"✅ EN TIEMPO",IF(E11&gt;=7,"⚠ ALERTA","🔴 CRÍTICO")),"—"),"")</f>
        <v/>
      </c>
      <c r="G11" s="103" t="n"/>
      <c r="H11" s="104" t="n"/>
    </row>
    <row r="12" ht="24" customHeight="1" s="78">
      <c r="B12" s="18" t="inlineStr">
        <is>
          <t>🤝 MESA DE TRABAJO
Fecha comprometida</t>
        </is>
      </c>
      <c r="C12" s="107">
        <f>IFERROR(TEXT(VLOOKUP(C5,'Data Original'!A:AC,17,0),"DD/MM/YYYY"),"N/D")</f>
        <v/>
      </c>
      <c r="D12" s="106" t="n"/>
      <c r="E12" s="19">
        <f>IFERROR(VLOOKUP(C5,'Data Original'!A:AC,19,0),"—")</f>
        <v/>
      </c>
      <c r="F12" s="111">
        <f>IFERROR(IF(ISNUMBER(E12),IF(E12&gt;=20,"✅ EN TIEMPO",IF(E12&gt;=7,"⚠ ALERTA","🔴 CRÍTICO")),"—"),"")</f>
        <v/>
      </c>
      <c r="G12" s="103" t="n"/>
      <c r="H12" s="104" t="n"/>
    </row>
    <row r="13" ht="24" customHeight="1" s="78">
      <c r="B13" s="20" t="inlineStr">
        <is>
          <t>⚡ RADICACIÓN CONTRATACIÓN
⚠ CRÍTICA — umbral 20 días</t>
        </is>
      </c>
      <c r="C13" s="118">
        <f>IFERROR(TEXT(VLOOKUP(C5,'Data Original'!A:AC,20,0),"DD/MM/YYYY"),"N/D")</f>
        <v/>
      </c>
      <c r="D13" s="119" t="n"/>
      <c r="E13" s="21">
        <f>IFERROR(VLOOKUP(C5,'Data Original'!A:AC,22,0),"—")</f>
        <v/>
      </c>
      <c r="F13" s="126">
        <f>IFERROR(IF(ISNUMBER(E13),IF(E13&gt;=30,"✅ EN TIEMPO",IF(E13&gt;=21,"⚠ ALERTA","🔴 CRÍTICO")),"—"),"")</f>
        <v/>
      </c>
      <c r="G13" s="125" t="n"/>
      <c r="H13" s="119" t="n"/>
    </row>
    <row r="15" ht="18" customHeight="1" s="78">
      <c r="B15" s="101" t="inlineStr">
        <is>
          <t xml:space="preserve">  📋 DATOS DEL PROYECTO  &amp;  👥 EQUIPO OTIC</t>
        </is>
      </c>
    </row>
    <row r="16" ht="18" customHeight="1" s="78">
      <c r="B16" s="112" t="inlineStr">
        <is>
          <t>📋 Datos del Proyecto</t>
        </is>
      </c>
      <c r="C16" s="95" t="n"/>
      <c r="D16" s="113" t="n"/>
      <c r="E16" s="131" t="inlineStr">
        <is>
          <t>👥 Equipo OTIC Asignado</t>
        </is>
      </c>
      <c r="F16" s="95" t="n"/>
      <c r="G16" s="95" t="n"/>
      <c r="H16" s="96" t="n"/>
    </row>
    <row r="17" ht="18" customHeight="1" s="78">
      <c r="B17" s="22" t="inlineStr">
        <is>
          <t>ID Proyecto</t>
        </is>
      </c>
      <c r="C17" s="110">
        <f>C5</f>
        <v/>
      </c>
      <c r="D17" s="106" t="n"/>
      <c r="E17" s="102" t="inlineStr">
        <is>
          <t>Supervisor</t>
        </is>
      </c>
      <c r="F17" s="103" t="n"/>
      <c r="G17" s="103" t="n"/>
      <c r="H17" s="104" t="n"/>
    </row>
    <row r="18" ht="18" customHeight="1" s="78">
      <c r="B18" s="23" t="inlineStr">
        <is>
          <t>Nombre</t>
        </is>
      </c>
      <c r="C18" s="120">
        <f>IFERROR(VLOOKUP(C5,'Data Original'!A:AC,3,0),"N/D")</f>
        <v/>
      </c>
      <c r="D18" s="106" t="n"/>
      <c r="E18" s="108">
        <f>IFERROR(VLOOKUP(C5,'Data Original'!A:AC,28,0),"N/D")</f>
        <v/>
      </c>
      <c r="F18" s="103" t="n"/>
      <c r="G18" s="103" t="n"/>
      <c r="H18" s="104" t="n"/>
    </row>
    <row r="19" ht="18" customHeight="1" s="78">
      <c r="B19" s="22" t="inlineStr">
        <is>
          <t>Modalidad</t>
        </is>
      </c>
      <c r="C19" s="110">
        <f>IFERROR(VLOOKUP(C5,'Data Original'!A:AC,5,0),"N/D")</f>
        <v/>
      </c>
      <c r="D19" s="106" t="n"/>
      <c r="E19" s="102" t="inlineStr">
        <is>
          <t>Estructurador</t>
        </is>
      </c>
      <c r="F19" s="103" t="n"/>
      <c r="G19" s="103" t="n"/>
      <c r="H19" s="104" t="n"/>
    </row>
    <row r="20" ht="18" customHeight="1" s="78">
      <c r="B20" s="23" t="inlineStr">
        <is>
          <t>Estado</t>
        </is>
      </c>
      <c r="C20" s="120">
        <f>IFERROR(VLOOKUP(C5,'Data Original'!A:AC,2,0),"N/D")</f>
        <v/>
      </c>
      <c r="D20" s="106" t="n"/>
      <c r="E20" s="108">
        <f>IFERROR(VLOOKUP(C5,'Data Original'!A:AC,25,0),"N/D")</f>
        <v/>
      </c>
      <c r="F20" s="103" t="n"/>
      <c r="G20" s="103" t="n"/>
      <c r="H20" s="104" t="n"/>
    </row>
    <row r="21" ht="18" customHeight="1" s="78">
      <c r="B21" s="22" t="inlineStr">
        <is>
          <t>Valor Proyecto</t>
        </is>
      </c>
      <c r="C21" s="105">
        <f>IFERROR(TEXT(VLOOKUP(C5,'Data Original'!A:AC,12,0),"$#,##0"),"N/D")</f>
        <v/>
      </c>
      <c r="D21" s="106" t="n"/>
      <c r="E21" s="102" t="inlineStr">
        <is>
          <t>Abogado OTIC</t>
        </is>
      </c>
      <c r="F21" s="103" t="n"/>
      <c r="G21" s="103" t="n"/>
      <c r="H21" s="104" t="n"/>
    </row>
    <row r="22" ht="18" customHeight="1" s="78">
      <c r="B22" s="24" t="inlineStr">
        <is>
          <t>Abogado OTIC</t>
        </is>
      </c>
      <c r="C22" s="128">
        <f>IFERROR(VLOOKUP(C5,'Data Original'!A:AC,26,0),"N/D")</f>
        <v/>
      </c>
      <c r="D22" s="119" t="n"/>
      <c r="E22" s="124">
        <f>IFERROR(VLOOKUP(C5,'Data Original'!A:AC,26,0),"N/D")</f>
        <v/>
      </c>
      <c r="F22" s="125" t="n"/>
      <c r="G22" s="125" t="n"/>
      <c r="H22" s="119" t="n"/>
    </row>
    <row r="24" ht="18" customHeight="1" s="78">
      <c r="B24" s="101" t="inlineStr">
        <is>
          <t xml:space="preserve">  📝 TAREAS COMPROMETIDAS POR EL SUPERVISOR</t>
        </is>
      </c>
    </row>
    <row r="25" ht="19.5" customHeight="1" s="78">
      <c r="B25" s="25" t="inlineStr">
        <is>
          <t>#</t>
        </is>
      </c>
      <c r="C25" s="26" t="inlineStr">
        <is>
          <t>TAREA</t>
        </is>
      </c>
      <c r="D25" s="26" t="inlineStr">
        <is>
          <t>F. INICIO</t>
        </is>
      </c>
      <c r="E25" s="26" t="inlineStr">
        <is>
          <t>F. FIN</t>
        </is>
      </c>
      <c r="F25" s="26" t="inlineStr">
        <is>
          <t>DÍAS REST.</t>
        </is>
      </c>
      <c r="G25" s="26" t="inlineStr">
        <is>
          <t>% AVANCE</t>
        </is>
      </c>
      <c r="H25" s="27" t="inlineStr">
        <is>
          <t>ESTADO</t>
        </is>
      </c>
    </row>
    <row r="26" ht="18" customHeight="1" s="78">
      <c r="B26" s="28" t="inlineStr">
        <is>
          <t>P1</t>
        </is>
      </c>
      <c r="C26" s="29" t="inlineStr">
        <is>
          <t>Prueba</t>
        </is>
      </c>
      <c r="D26" s="76" t="n">
        <v>46023</v>
      </c>
      <c r="E26" s="31">
        <f>IF('P1'!A2=C5,IF('P1'!E2="","",TEXT('P1'!E2,"DD/MM/YY")),"")</f>
        <v/>
      </c>
      <c r="F26" s="32">
        <f>IF('P1'!A2=C5,IF('P1'!F2="","",'P1'!F2),"")</f>
        <v/>
      </c>
      <c r="G26" s="33">
        <f>IF('P1'!A2=C5,IF('P1'!H2="","",'P1'!H2),"")</f>
        <v/>
      </c>
      <c r="H26" s="108">
        <f>IF('P1'!A2=C5,IF('P1'!C2=""," ",IF('P1'!H2=1,"✅ Completada",IF('P1'!F2="","—",IF('P1'!F2&gt;5,"🟢 En tiempo",IF('P1'!F2&gt;=1,"🟡 Por vencer","🔴 Vencida")))))," ")</f>
        <v/>
      </c>
    </row>
    <row r="27" ht="18" customHeight="1" s="78">
      <c r="B27" s="28">
        <f>IF('P1'!A3=C5,ROW()-25,"")</f>
        <v/>
      </c>
      <c r="C27" s="34">
        <f>IF('P1'!A3=C5,IF('P1'!C3="","",'P1'!C3),"")</f>
        <v/>
      </c>
      <c r="D27" s="35">
        <f>IF('P1'!A3=C5,IF('P1'!D3="","",TEXT('P1'!D3,"DD/MM/YY")),"")</f>
        <v/>
      </c>
      <c r="E27" s="36">
        <f>IF('P1'!A3=C5,IF('P1'!E3="","",TEXT('P1'!E3,"DD/MM/YY")),"")</f>
        <v/>
      </c>
      <c r="F27" s="37">
        <f>IF('P1'!A3=C5,IF('P1'!F3="","",'P1'!F3),"")</f>
        <v/>
      </c>
      <c r="G27" s="38">
        <f>IF('P1'!A3=C5,IF('P1'!H3="","",'P1'!H3),"")</f>
        <v/>
      </c>
      <c r="H27" s="39">
        <f>IF('P1'!A3=C5,IF('P1'!C3=""," ",IF('P1'!H3=1,"✅ Completada",IF('P1'!F3="","—",IF('P1'!F3&gt;5,"🟢 En tiempo",IF('P1'!F3&gt;=1,"🟡 Por vencer","🔴 Vencida")))))," ")</f>
        <v/>
      </c>
    </row>
    <row r="28" ht="18" customHeight="1" s="78">
      <c r="B28" s="28">
        <f>IF('P1'!A4=C5,ROW()-25,"")</f>
        <v/>
      </c>
      <c r="C28" s="29">
        <f>IF('P1'!A4=C5,IF('P1'!C4="","",'P1'!C4),"")</f>
        <v/>
      </c>
      <c r="D28" s="30">
        <f>IF('P1'!A4=C5,IF('P1'!D4="","",TEXT('P1'!D4,"DD/MM/YY")),"")</f>
        <v/>
      </c>
      <c r="E28" s="31">
        <f>IF('P1'!A4=C5,IF('P1'!E4="","",TEXT('P1'!E4,"DD/MM/YY")),"")</f>
        <v/>
      </c>
      <c r="F28" s="32">
        <f>IF('P1'!A4=C5,IF('P1'!F4="","",'P1'!F4),"")</f>
        <v/>
      </c>
      <c r="G28" s="33">
        <f>IF('P1'!A4=C5,IF('P1'!H4="","",'P1'!H4),"")</f>
        <v/>
      </c>
      <c r="H28" s="108">
        <f>IF('P1'!A4=C5,IF('P1'!C4=""," ",IF('P1'!H4=1,"✅ Completada",IF('P1'!F4="","—",IF('P1'!F4&gt;5,"🟢 En tiempo",IF('P1'!F4&gt;=1,"🟡 Por vencer","🔴 Vencida")))))," ")</f>
        <v/>
      </c>
    </row>
    <row r="29" ht="18" customHeight="1" s="78">
      <c r="B29" s="28">
        <f>IF('P1'!A5=C5,ROW()-25,"")</f>
        <v/>
      </c>
      <c r="C29" s="34">
        <f>IF('P1'!A5=C5,IF('P1'!C5="","",'P1'!C5),"")</f>
        <v/>
      </c>
      <c r="D29" s="35">
        <f>IF('P1'!A5=C5,IF('P1'!D5="","",TEXT('P1'!D5,"DD/MM/YY")),"")</f>
        <v/>
      </c>
      <c r="E29" s="36">
        <f>IF('P1'!A5=C5,IF('P1'!E5="","",TEXT('P1'!E5,"DD/MM/YY")),"")</f>
        <v/>
      </c>
      <c r="F29" s="37">
        <f>IF('P1'!A5=C5,IF('P1'!F5="","",'P1'!F5),"")</f>
        <v/>
      </c>
      <c r="G29" s="38">
        <f>IF('P1'!A5=C5,IF('P1'!H5="","",'P1'!H5),"")</f>
        <v/>
      </c>
      <c r="H29" s="39">
        <f>IF('P1'!A5=C5,IF('P1'!C5=""," ",IF('P1'!H5=1,"✅ Completada",IF('P1'!F5="","—",IF('P1'!F5&gt;5,"🟢 En tiempo",IF('P1'!F5&gt;=1,"🟡 Por vencer","🔴 Vencida")))))," ")</f>
        <v/>
      </c>
    </row>
    <row r="30" ht="18" customHeight="1" s="78">
      <c r="B30" s="28">
        <f>IF('P1'!A6=C5,ROW()-25,"")</f>
        <v/>
      </c>
      <c r="C30" s="29">
        <f>IF('P1'!A6=C5,IF('P1'!C6="","",'P1'!C6),"")</f>
        <v/>
      </c>
      <c r="D30" s="30">
        <f>IF('P1'!A6=C5,IF('P1'!D6="","",TEXT('P1'!D6,"DD/MM/YY")),"")</f>
        <v/>
      </c>
      <c r="E30" s="31">
        <f>IF('P1'!A6=C5,IF('P1'!E6="","",TEXT('P1'!E6,"DD/MM/YY")),"")</f>
        <v/>
      </c>
      <c r="F30" s="32">
        <f>IF('P1'!A6=C5,IF('P1'!F6="","",'P1'!F6),"")</f>
        <v/>
      </c>
      <c r="G30" s="33">
        <f>IF('P1'!A6=C5,IF('P1'!H6="","",'P1'!H6),"")</f>
        <v/>
      </c>
      <c r="H30" s="108">
        <f>IF('P1'!A6=C5,IF('P1'!C6=""," ",IF('P1'!H6=1,"✅ Completada",IF('P1'!F6="","—",IF('P1'!F6&gt;5,"🟢 En tiempo",IF('P1'!F6&gt;=1,"🟡 Por vencer","🔴 Vencida")))))," ")</f>
        <v/>
      </c>
    </row>
    <row r="31" ht="18" customHeight="1" s="78">
      <c r="B31" s="28">
        <f>IF('P1'!A7=C5,ROW()-25,"")</f>
        <v/>
      </c>
      <c r="C31" s="34">
        <f>IF('P1'!A7=C5,IF('P1'!C7="","",'P1'!C7),"")</f>
        <v/>
      </c>
      <c r="D31" s="35">
        <f>IF('P1'!A7=C5,IF('P1'!D7="","",TEXT('P1'!D7,"DD/MM/YY")),"")</f>
        <v/>
      </c>
      <c r="E31" s="36">
        <f>IF('P1'!A7=C5,IF('P1'!E7="","",TEXT('P1'!E7,"DD/MM/YY")),"")</f>
        <v/>
      </c>
      <c r="F31" s="37">
        <f>IF('P1'!A7=C5,IF('P1'!F7="","",'P1'!F7),"")</f>
        <v/>
      </c>
      <c r="G31" s="38">
        <f>IF('P1'!A7=C5,IF('P1'!H7="","",'P1'!H7),"")</f>
        <v/>
      </c>
      <c r="H31" s="39">
        <f>IF('P1'!A7=C5,IF('P1'!C7=""," ",IF('P1'!H7=1,"✅ Completada",IF('P1'!F7="","—",IF('P1'!F7&gt;5,"🟢 En tiempo",IF('P1'!F7&gt;=1,"🟡 Por vencer","🔴 Vencida")))))," ")</f>
        <v/>
      </c>
    </row>
    <row r="32" ht="18" customHeight="1" s="78">
      <c r="B32" s="28">
        <f>IF('P1'!A8=C5,ROW()-25,"")</f>
        <v/>
      </c>
      <c r="C32" s="29">
        <f>IF('P1'!A8=C5,IF('P1'!C8="","",'P1'!C8),"")</f>
        <v/>
      </c>
      <c r="D32" s="30">
        <f>IF('P1'!A8=C5,IF('P1'!D8="","",TEXT('P1'!D8,"DD/MM/YY")),"")</f>
        <v/>
      </c>
      <c r="E32" s="31">
        <f>IF('P1'!A8=C5,IF('P1'!E8="","",TEXT('P1'!E8,"DD/MM/YY")),"")</f>
        <v/>
      </c>
      <c r="F32" s="32">
        <f>IF('P1'!A8=C5,IF('P1'!F8="","",'P1'!F8),"")</f>
        <v/>
      </c>
      <c r="G32" s="33">
        <f>IF('P1'!A8=C5,IF('P1'!H8="","",'P1'!H8),"")</f>
        <v/>
      </c>
      <c r="H32" s="108">
        <f>IF('P1'!A8=C5,IF('P1'!C8=""," ",IF('P1'!H8=1,"✅ Completada",IF('P1'!F8="","—",IF('P1'!F8&gt;5,"🟢 En tiempo",IF('P1'!F8&gt;=1,"🟡 Por vencer","🔴 Vencida")))))," ")</f>
        <v/>
      </c>
    </row>
    <row r="33" ht="18" customHeight="1" s="78">
      <c r="B33" s="28">
        <f>IF('P1'!A9=C5,ROW()-25,"")</f>
        <v/>
      </c>
      <c r="C33" s="34">
        <f>IF('P1'!A9=C5,IF('P1'!C9="","",'P1'!C9),"")</f>
        <v/>
      </c>
      <c r="D33" s="35">
        <f>IF('P1'!A9=C5,IF('P1'!D9="","",TEXT('P1'!D9,"DD/MM/YY")),"")</f>
        <v/>
      </c>
      <c r="E33" s="36">
        <f>IF('P1'!A9=C5,IF('P1'!E9="","",TEXT('P1'!E9,"DD/MM/YY")),"")</f>
        <v/>
      </c>
      <c r="F33" s="37">
        <f>IF('P1'!A9=C5,IF('P1'!F9="","",'P1'!F9),"")</f>
        <v/>
      </c>
      <c r="G33" s="38">
        <f>IF('P1'!A9=C5,IF('P1'!H9="","",'P1'!H9),"")</f>
        <v/>
      </c>
      <c r="H33" s="39">
        <f>IF('P1'!A9=C5,IF('P1'!C9=""," ",IF('P1'!H9=1,"✅ Completada",IF('P1'!F9="","—",IF('P1'!F9&gt;5,"🟢 En tiempo",IF('P1'!F9&gt;=1,"🟡 Por vencer","🔴 Vencida")))))," ")</f>
        <v/>
      </c>
    </row>
    <row r="34" ht="18" customHeight="1" s="78">
      <c r="B34" s="28">
        <f>IF('P1'!A10=C5,ROW()-25,"")</f>
        <v/>
      </c>
      <c r="C34" s="29">
        <f>IF('P1'!A10=C5,IF('P1'!C10="","",'P1'!C10),"")</f>
        <v/>
      </c>
      <c r="D34" s="30">
        <f>IF('P1'!A10=C5,IF('P1'!D10="","",TEXT('P1'!D10,"DD/MM/YY")),"")</f>
        <v/>
      </c>
      <c r="E34" s="31">
        <f>IF('P1'!A10=C5,IF('P1'!E10="","",TEXT('P1'!E10,"DD/MM/YY")),"")</f>
        <v/>
      </c>
      <c r="F34" s="32">
        <f>IF('P1'!A10=C5,IF('P1'!F10="","",'P1'!F10),"")</f>
        <v/>
      </c>
      <c r="G34" s="33">
        <f>IF('P1'!A10=C5,IF('P1'!H10="","",'P1'!H10),"")</f>
        <v/>
      </c>
      <c r="H34" s="108">
        <f>IF('P1'!A10=C5,IF('P1'!C10=""," ",IF('P1'!H10=1,"✅ Completada",IF('P1'!F10="","—",IF('P1'!F10&gt;5,"🟢 En tiempo",IF('P1'!F10&gt;=1,"🟡 Por vencer","🔴 Vencida")))))," ")</f>
        <v/>
      </c>
    </row>
    <row r="35" ht="18" customHeight="1" s="78">
      <c r="B35" s="28">
        <f>IF('P1'!A11=C5,ROW()-25,"")</f>
        <v/>
      </c>
      <c r="C35" s="34">
        <f>IF('P1'!A11=C5,IF('P1'!C11="","",'P1'!C11),"")</f>
        <v/>
      </c>
      <c r="D35" s="35">
        <f>IF('P1'!A11=C5,IF('P1'!D11="","",TEXT('P1'!D11,"DD/MM/YY")),"")</f>
        <v/>
      </c>
      <c r="E35" s="36">
        <f>IF('P1'!A11=C5,IF('P1'!E11="","",TEXT('P1'!E11,"DD/MM/YY")),"")</f>
        <v/>
      </c>
      <c r="F35" s="37">
        <f>IF('P1'!A11=C5,IF('P1'!F11="","",'P1'!F11),"")</f>
        <v/>
      </c>
      <c r="G35" s="38">
        <f>IF('P1'!A11=C5,IF('P1'!H11="","",'P1'!H11),"")</f>
        <v/>
      </c>
      <c r="H35" s="39">
        <f>IF('P1'!A11=C5,IF('P1'!C11=""," ",IF('P1'!H11=1,"✅ Completada",IF('P1'!F11="","—",IF('P1'!F11&gt;5,"🟢 En tiempo",IF('P1'!F11&gt;=1,"🟡 Por vencer","🔴 Vencida")))))," ")</f>
        <v/>
      </c>
    </row>
    <row r="36" ht="18" customHeight="1" s="78">
      <c r="B36" s="28">
        <f>IF('P1'!A12=C5,ROW()-25,"")</f>
        <v/>
      </c>
      <c r="C36" s="29">
        <f>IF('P1'!A12=C5,IF('P1'!C12="","",'P1'!C12),"")</f>
        <v/>
      </c>
      <c r="D36" s="30">
        <f>IF('P1'!A12=C5,IF('P1'!D12="","",TEXT('P1'!D12,"DD/MM/YY")),"")</f>
        <v/>
      </c>
      <c r="E36" s="31">
        <f>IF('P1'!A12=C5,IF('P1'!E12="","",TEXT('P1'!E12,"DD/MM/YY")),"")</f>
        <v/>
      </c>
      <c r="F36" s="32">
        <f>IF('P1'!A12=C5,IF('P1'!F12="","",'P1'!F12),"")</f>
        <v/>
      </c>
      <c r="G36" s="33">
        <f>IF('P1'!A12=C5,IF('P1'!H12="","",'P1'!H12),"")</f>
        <v/>
      </c>
      <c r="H36" s="108">
        <f>IF('P1'!A12=C5,IF('P1'!C12=""," ",IF('P1'!H12=1,"✅ Completada",IF('P1'!F12="","—",IF('P1'!F12&gt;5,"🟢 En tiempo",IF('P1'!F12&gt;=1,"🟡 Por vencer","🔴 Vencida")))))," ")</f>
        <v/>
      </c>
    </row>
    <row r="37" ht="18" customHeight="1" s="78">
      <c r="B37" s="28">
        <f>IF('P1'!A13=C5,ROW()-25,"")</f>
        <v/>
      </c>
      <c r="C37" s="34">
        <f>IF('P1'!A13=C5,IF('P1'!C13="","",'P1'!C13),"")</f>
        <v/>
      </c>
      <c r="D37" s="35">
        <f>IF('P1'!A13=C5,IF('P1'!D13="","",TEXT('P1'!D13,"DD/MM/YY")),"")</f>
        <v/>
      </c>
      <c r="E37" s="36">
        <f>IF('P1'!A13=C5,IF('P1'!E13="","",TEXT('P1'!E13,"DD/MM/YY")),"")</f>
        <v/>
      </c>
      <c r="F37" s="37">
        <f>IF('P1'!A13=C5,IF('P1'!F13="","",'P1'!F13),"")</f>
        <v/>
      </c>
      <c r="G37" s="38">
        <f>IF('P1'!A13=C5,IF('P1'!H13="","",'P1'!H13),"")</f>
        <v/>
      </c>
      <c r="H37" s="39">
        <f>IF('P1'!A13=C5,IF('P1'!C13=""," ",IF('P1'!H13=1,"✅ Completada",IF('P1'!F13="","—",IF('P1'!F13&gt;5,"🟢 En tiempo",IF('P1'!F13&gt;=1,"🟡 Por vencer","🔴 Vencida")))))," ")</f>
        <v/>
      </c>
    </row>
    <row r="38" ht="18" customHeight="1" s="78">
      <c r="B38" s="28">
        <f>IF('P1'!A14=C5,ROW()-25,"")</f>
        <v/>
      </c>
      <c r="C38" s="29">
        <f>IF('P1'!A14=C5,IF('P1'!C14="","",'P1'!C14),"")</f>
        <v/>
      </c>
      <c r="D38" s="30">
        <f>IF('P1'!A14=C5,IF('P1'!D14="","",TEXT('P1'!D14,"DD/MM/YY")),"")</f>
        <v/>
      </c>
      <c r="E38" s="31">
        <f>IF('P1'!A14=C5,IF('P1'!E14="","",TEXT('P1'!E14,"DD/MM/YY")),"")</f>
        <v/>
      </c>
      <c r="F38" s="32">
        <f>IF('P1'!A14=C5,IF('P1'!F14="","",'P1'!F14),"")</f>
        <v/>
      </c>
      <c r="G38" s="33">
        <f>IF('P1'!A14=C5,IF('P1'!H14="","",'P1'!H14),"")</f>
        <v/>
      </c>
      <c r="H38" s="108">
        <f>IF('P1'!A14=C5,IF('P1'!C14=""," ",IF('P1'!H14=1,"✅ Completada",IF('P1'!F14="","—",IF('P1'!F14&gt;5,"🟢 En tiempo",IF('P1'!F14&gt;=1,"🟡 Por vencer","🔴 Vencida")))))," ")</f>
        <v/>
      </c>
    </row>
    <row r="39" ht="18" customHeight="1" s="78">
      <c r="B39" s="28">
        <f>IF('P1'!A15=C5,ROW()-25,"")</f>
        <v/>
      </c>
      <c r="C39" s="34">
        <f>IF('P1'!A15=C5,IF('P1'!C15="","",'P1'!C15),"")</f>
        <v/>
      </c>
      <c r="D39" s="35">
        <f>IF('P1'!A15=C5,IF('P1'!D15="","",TEXT('P1'!D15,"DD/MM/YY")),"")</f>
        <v/>
      </c>
      <c r="E39" s="36">
        <f>IF('P1'!A15=C5,IF('P1'!E15="","",TEXT('P1'!E15,"DD/MM/YY")),"")</f>
        <v/>
      </c>
      <c r="F39" s="37">
        <f>IF('P1'!A15=C5,IF('P1'!F15="","",'P1'!F15),"")</f>
        <v/>
      </c>
      <c r="G39" s="38">
        <f>IF('P1'!A15=C5,IF('P1'!H15="","",'P1'!H15),"")</f>
        <v/>
      </c>
      <c r="H39" s="39">
        <f>IF('P1'!A15=C5,IF('P1'!C15=""," ",IF('P1'!H15=1,"✅ Completada",IF('P1'!F15="","—",IF('P1'!F15&gt;5,"🟢 En tiempo",IF('P1'!F15&gt;=1,"🟡 Por vencer","🔴 Vencida")))))," ")</f>
        <v/>
      </c>
    </row>
    <row r="40" ht="18" customHeight="1" s="78">
      <c r="B40" s="40">
        <f>IF('P1'!A16=C5,ROW()-25,"")</f>
        <v/>
      </c>
      <c r="C40" s="41">
        <f>IF('P1'!A16=C5,IF('P1'!C16="","",'P1'!C16),"")</f>
        <v/>
      </c>
      <c r="D40" s="42">
        <f>IF('P1'!A16=C5,IF('P1'!D16="","",TEXT('P1'!D16,"DD/MM/YY")),"")</f>
        <v/>
      </c>
      <c r="E40" s="43">
        <f>IF('P1'!A16=C5,IF('P1'!E16="","",TEXT('P1'!E16,"DD/MM/YY")),"")</f>
        <v/>
      </c>
      <c r="F40" s="44">
        <f>IF('P1'!A16=C5,IF('P1'!F16="","",'P1'!F16),"")</f>
        <v/>
      </c>
      <c r="G40" s="45">
        <f>IF('P1'!A16=C5,IF('P1'!H16="","",'P1'!H16),"")</f>
        <v/>
      </c>
      <c r="H40" s="46">
        <f>IF('P1'!A16=C5,IF('P1'!C16=""," ",IF('P1'!H16=1,"✅ Completada",IF('P1'!F16="","—",IF('P1'!F16&gt;5,"🟢 En tiempo",IF('P1'!F16&gt;=1,"🟡 Por vencer","🔴 Vencida")))))," ")</f>
        <v/>
      </c>
    </row>
    <row r="42" ht="21.75" customHeight="1" s="78">
      <c r="B42" s="127" t="inlineStr">
        <is>
          <t>PROGRESO GENERAL:</t>
        </is>
      </c>
      <c r="C42" s="95" t="n"/>
      <c r="D42" s="132">
        <f>IF('P1'!A2=C5,TEXT(AVERAGE('P1'!H2:H16),"0%")&amp;"  ("&amp;COUNTIF('P1'!H2:H16,1)&amp;"/"&amp;COUNTA('P1'!C2:C16)&amp;" tareas)","")</f>
        <v/>
      </c>
      <c r="E42" s="95" t="n"/>
      <c r="F42" s="95" t="n"/>
      <c r="G42" s="130">
        <f>IF('P1'!A2=C5,IF(AVERAGE('P1'!H2:H16)=1,"✅ COMPLETADO",IF(AVERAGE('P1'!H2:H16)&gt;=0.7,"🟢 BUEN RITMO",IF(AVERAGE('P1'!H2:H16)&gt;=0.4,"🟡 EN PROGRESO","🔴 REZAGADO"))),"")</f>
        <v/>
      </c>
      <c r="H42" s="95" t="n"/>
    </row>
    <row r="44" ht="15.75" customHeight="1" s="78">
      <c r="B44" s="129" t="inlineStr">
        <is>
          <t>ℹ️  Las tareas se cargan desde la hoja del proyecto (P1, P2…) · Semáforo: 🟢 &gt;5d | 🟡 1-5d | 🔴 Vencida | ✅ Completada</t>
        </is>
      </c>
    </row>
    <row r="45" ht="3" customHeight="1" s="78">
      <c r="B45" s="100" t="n"/>
    </row>
  </sheetData>
  <mergeCells count="34">
    <mergeCell ref="B9:H9"/>
    <mergeCell ref="G42:H42"/>
    <mergeCell ref="E16:H16"/>
    <mergeCell ref="B24:H24"/>
    <mergeCell ref="B15:H15"/>
    <mergeCell ref="B45:H45"/>
    <mergeCell ref="E22:H22"/>
    <mergeCell ref="C20:D20"/>
    <mergeCell ref="E18:H18"/>
    <mergeCell ref="C10:D10"/>
    <mergeCell ref="F13:H13"/>
    <mergeCell ref="B42:C42"/>
    <mergeCell ref="E21:H21"/>
    <mergeCell ref="C22:D22"/>
    <mergeCell ref="B7:H7"/>
    <mergeCell ref="B3:H3"/>
    <mergeCell ref="D42:F42"/>
    <mergeCell ref="C12:D12"/>
    <mergeCell ref="E17:H17"/>
    <mergeCell ref="C21:D21"/>
    <mergeCell ref="C11:D11"/>
    <mergeCell ref="E20:H20"/>
    <mergeCell ref="B2:H2"/>
    <mergeCell ref="E19:H19"/>
    <mergeCell ref="C17:D17"/>
    <mergeCell ref="F11:H11"/>
    <mergeCell ref="B16:D16"/>
    <mergeCell ref="F10:H10"/>
    <mergeCell ref="B44:H44"/>
    <mergeCell ref="C19:D19"/>
    <mergeCell ref="D5:H5"/>
    <mergeCell ref="C13:D13"/>
    <mergeCell ref="F12:H12"/>
    <mergeCell ref="C18:D18"/>
  </mergeCells>
  <conditionalFormatting sqref="E11:H11">
    <cfRule type="expression" priority="2" dxfId="47">
      <formula>AND(ISNUMBER(E11),E11&gt;=20)</formula>
    </cfRule>
    <cfRule type="expression" priority="3" dxfId="46">
      <formula>AND(ISNUMBER(E11),E11&gt;=7,E11&lt;20)</formula>
    </cfRule>
    <cfRule type="expression" priority="4" dxfId="45">
      <formula>AND(ISNUMBER(E11),E11&lt;7)</formula>
    </cfRule>
  </conditionalFormatting>
  <conditionalFormatting sqref="E12:H12">
    <cfRule type="expression" priority="5" dxfId="47">
      <formula>AND(ISNUMBER(E12),E12&gt;=20)</formula>
    </cfRule>
    <cfRule type="expression" priority="6" dxfId="46">
      <formula>AND(ISNUMBER(E12),E12&gt;=7,E12&lt;20)</formula>
    </cfRule>
    <cfRule type="expression" priority="7" dxfId="45">
      <formula>AND(ISNUMBER(E12),E12&lt;7)</formula>
    </cfRule>
  </conditionalFormatting>
  <conditionalFormatting sqref="E13:H13">
    <cfRule type="expression" priority="8" dxfId="47">
      <formula>AND(ISNUMBER(E13),E13&gt;=30)</formula>
    </cfRule>
    <cfRule type="expression" priority="9" dxfId="46">
      <formula>AND(ISNUMBER(E13),E13&gt;=21,E13&lt;30)</formula>
    </cfRule>
    <cfRule type="expression" priority="10" dxfId="45">
      <formula>AND(ISNUMBER(E13),E13&lt;=20)</formula>
    </cfRule>
  </conditionalFormatting>
  <conditionalFormatting sqref="F26:H26">
    <cfRule type="expression" priority="11" dxfId="2">
      <formula>OR(G26=1,AND(ISNUMBER(F26),F26&gt;5,G26&lt;1))</formula>
    </cfRule>
    <cfRule type="expression" priority="12" dxfId="1">
      <formula>AND(ISNUMBER(F26),F26&gt;=1,F26&lt;=5,G26&lt;1)</formula>
    </cfRule>
    <cfRule type="expression" priority="13" dxfId="0">
      <formula>AND(ISNUMBER(F26),F26&lt;=0,G26&lt;1)</formula>
    </cfRule>
  </conditionalFormatting>
  <conditionalFormatting sqref="F27:H27">
    <cfRule type="expression" priority="14" dxfId="2">
      <formula>OR(G27=1,AND(ISNUMBER(F27),F27&gt;5,G27&lt;1))</formula>
    </cfRule>
    <cfRule type="expression" priority="15" dxfId="1">
      <formula>AND(ISNUMBER(F27),F27&gt;=1,F27&lt;=5,G27&lt;1)</formula>
    </cfRule>
    <cfRule type="expression" priority="16" dxfId="0">
      <formula>AND(ISNUMBER(F27),F27&lt;=0,G27&lt;1)</formula>
    </cfRule>
  </conditionalFormatting>
  <conditionalFormatting sqref="F28:H28">
    <cfRule type="expression" priority="17" dxfId="2">
      <formula>OR(G28=1,AND(ISNUMBER(F28),F28&gt;5,G28&lt;1))</formula>
    </cfRule>
    <cfRule type="expression" priority="18" dxfId="1">
      <formula>AND(ISNUMBER(F28),F28&gt;=1,F28&lt;=5,G28&lt;1)</formula>
    </cfRule>
    <cfRule type="expression" priority="19" dxfId="0">
      <formula>AND(ISNUMBER(F28),F28&lt;=0,G28&lt;1)</formula>
    </cfRule>
  </conditionalFormatting>
  <conditionalFormatting sqref="F29:H29">
    <cfRule type="expression" priority="20" dxfId="2">
      <formula>OR(G29=1,AND(ISNUMBER(F29),F29&gt;5,G29&lt;1))</formula>
    </cfRule>
    <cfRule type="expression" priority="21" dxfId="1">
      <formula>AND(ISNUMBER(F29),F29&gt;=1,F29&lt;=5,G29&lt;1)</formula>
    </cfRule>
    <cfRule type="expression" priority="22" dxfId="0">
      <formula>AND(ISNUMBER(F29),F29&lt;=0,G29&lt;1)</formula>
    </cfRule>
  </conditionalFormatting>
  <conditionalFormatting sqref="F30:H30">
    <cfRule type="expression" priority="23" dxfId="2">
      <formula>OR(G30=1,AND(ISNUMBER(F30),F30&gt;5,G30&lt;1))</formula>
    </cfRule>
    <cfRule type="expression" priority="24" dxfId="1">
      <formula>AND(ISNUMBER(F30),F30&gt;=1,F30&lt;=5,G30&lt;1)</formula>
    </cfRule>
    <cfRule type="expression" priority="25" dxfId="0">
      <formula>AND(ISNUMBER(F30),F30&lt;=0,G30&lt;1)</formula>
    </cfRule>
  </conditionalFormatting>
  <conditionalFormatting sqref="F31:H31">
    <cfRule type="expression" priority="26" dxfId="2">
      <formula>OR(G31=1,AND(ISNUMBER(F31),F31&gt;5,G31&lt;1))</formula>
    </cfRule>
    <cfRule type="expression" priority="27" dxfId="1">
      <formula>AND(ISNUMBER(F31),F31&gt;=1,F31&lt;=5,G31&lt;1)</formula>
    </cfRule>
    <cfRule type="expression" priority="28" dxfId="0">
      <formula>AND(ISNUMBER(F31),F31&lt;=0,G31&lt;1)</formula>
    </cfRule>
  </conditionalFormatting>
  <conditionalFormatting sqref="F32:H32">
    <cfRule type="expression" priority="29" dxfId="2">
      <formula>OR(G32=1,AND(ISNUMBER(F32),F32&gt;5,G32&lt;1))</formula>
    </cfRule>
    <cfRule type="expression" priority="30" dxfId="1">
      <formula>AND(ISNUMBER(F32),F32&gt;=1,F32&lt;=5,G32&lt;1)</formula>
    </cfRule>
    <cfRule type="expression" priority="31" dxfId="0">
      <formula>AND(ISNUMBER(F32),F32&lt;=0,G32&lt;1)</formula>
    </cfRule>
  </conditionalFormatting>
  <conditionalFormatting sqref="F33:H33">
    <cfRule type="expression" priority="32" dxfId="2">
      <formula>OR(G33=1,AND(ISNUMBER(F33),F33&gt;5,G33&lt;1))</formula>
    </cfRule>
    <cfRule type="expression" priority="33" dxfId="1">
      <formula>AND(ISNUMBER(F33),F33&gt;=1,F33&lt;=5,G33&lt;1)</formula>
    </cfRule>
    <cfRule type="expression" priority="34" dxfId="0">
      <formula>AND(ISNUMBER(F33),F33&lt;=0,G33&lt;1)</formula>
    </cfRule>
  </conditionalFormatting>
  <conditionalFormatting sqref="F34:H34">
    <cfRule type="expression" priority="35" dxfId="2">
      <formula>OR(G34=1,AND(ISNUMBER(F34),F34&gt;5,G34&lt;1))</formula>
    </cfRule>
    <cfRule type="expression" priority="36" dxfId="1">
      <formula>AND(ISNUMBER(F34),F34&gt;=1,F34&lt;=5,G34&lt;1)</formula>
    </cfRule>
    <cfRule type="expression" priority="37" dxfId="0">
      <formula>AND(ISNUMBER(F34),F34&lt;=0,G34&lt;1)</formula>
    </cfRule>
  </conditionalFormatting>
  <conditionalFormatting sqref="F35:H35">
    <cfRule type="expression" priority="38" dxfId="2">
      <formula>OR(G35=1,AND(ISNUMBER(F35),F35&gt;5,G35&lt;1))</formula>
    </cfRule>
    <cfRule type="expression" priority="39" dxfId="1">
      <formula>AND(ISNUMBER(F35),F35&gt;=1,F35&lt;=5,G35&lt;1)</formula>
    </cfRule>
    <cfRule type="expression" priority="40" dxfId="0">
      <formula>AND(ISNUMBER(F35),F35&lt;=0,G35&lt;1)</formula>
    </cfRule>
  </conditionalFormatting>
  <conditionalFormatting sqref="F36:H36">
    <cfRule type="expression" priority="41" dxfId="2">
      <formula>OR(G36=1,AND(ISNUMBER(F36),F36&gt;5,G36&lt;1))</formula>
    </cfRule>
    <cfRule type="expression" priority="42" dxfId="1">
      <formula>AND(ISNUMBER(F36),F36&gt;=1,F36&lt;=5,G36&lt;1)</formula>
    </cfRule>
    <cfRule type="expression" priority="43" dxfId="0">
      <formula>AND(ISNUMBER(F36),F36&lt;=0,G36&lt;1)</formula>
    </cfRule>
  </conditionalFormatting>
  <conditionalFormatting sqref="F37:H37">
    <cfRule type="expression" priority="44" dxfId="2">
      <formula>OR(G37=1,AND(ISNUMBER(F37),F37&gt;5,G37&lt;1))</formula>
    </cfRule>
    <cfRule type="expression" priority="45" dxfId="1">
      <formula>AND(ISNUMBER(F37),F37&gt;=1,F37&lt;=5,G37&lt;1)</formula>
    </cfRule>
    <cfRule type="expression" priority="46" dxfId="0">
      <formula>AND(ISNUMBER(F37),F37&lt;=0,G37&lt;1)</formula>
    </cfRule>
  </conditionalFormatting>
  <conditionalFormatting sqref="F38:H38">
    <cfRule type="expression" priority="47" dxfId="2">
      <formula>OR(G38=1,AND(ISNUMBER(F38),F38&gt;5,G38&lt;1))</formula>
    </cfRule>
    <cfRule type="expression" priority="48" dxfId="1">
      <formula>AND(ISNUMBER(F38),F38&gt;=1,F38&lt;=5,G38&lt;1)</formula>
    </cfRule>
    <cfRule type="expression" priority="49" dxfId="0">
      <formula>AND(ISNUMBER(F38),F38&lt;=0,G38&lt;1)</formula>
    </cfRule>
  </conditionalFormatting>
  <conditionalFormatting sqref="F39:H39">
    <cfRule type="expression" priority="50" dxfId="2">
      <formula>OR(G39=1,AND(ISNUMBER(F39),F39&gt;5,G39&lt;1))</formula>
    </cfRule>
    <cfRule type="expression" priority="51" dxfId="1">
      <formula>AND(ISNUMBER(F39),F39&gt;=1,F39&lt;=5,G39&lt;1)</formula>
    </cfRule>
    <cfRule type="expression" priority="52" dxfId="0">
      <formula>AND(ISNUMBER(F39),F39&lt;=0,G39&lt;1)</formula>
    </cfRule>
  </conditionalFormatting>
  <conditionalFormatting sqref="F40:H40">
    <cfRule type="expression" priority="53" dxfId="2">
      <formula>OR(G40=1,AND(ISNUMBER(F40),F40&gt;5,G40&lt;1))</formula>
    </cfRule>
    <cfRule type="expression" priority="54" dxfId="1">
      <formula>AND(ISNUMBER(F40),F40&gt;=1,F40&lt;=5,G40&lt;1)</formula>
    </cfRule>
    <cfRule type="expression" priority="55" dxfId="0">
      <formula>AND(ISNUMBER(F40),F40&lt;=0,G40&lt;1)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6">
    <outlinePr summaryBelow="1" summaryRight="1"/>
    <pageSetUpPr/>
  </sheetPr>
  <dimension ref="A1:L19"/>
  <sheetViews>
    <sheetView showGridLines="0" zoomScale="70" zoomScaleNormal="70" workbookViewId="0">
      <selection activeCell="G15" sqref="G15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8.453125" customWidth="1" style="78" min="10" max="10"/>
  </cols>
  <sheetData>
    <row r="1" ht="32" customHeight="1" s="78">
      <c r="A1" s="133" t="inlineStr">
        <is>
          <t>📋  PLAN DE TRABAJO — P1: DARUMA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7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</t>
        </is>
      </c>
      <c r="C4" s="59" t="inlineStr">
        <is>
          <t>Estructuracion</t>
        </is>
      </c>
      <c r="D4" s="60" t="inlineStr">
        <is>
          <t>Asignacion proyecto</t>
        </is>
      </c>
      <c r="E4" s="61" t="n">
        <v>46055</v>
      </c>
      <c r="F4" s="61" t="n">
        <v>46075</v>
      </c>
      <c r="G4" s="62">
        <f>IF(F4="","",F4-TODAY())</f>
        <v/>
      </c>
      <c r="H4" s="63" t="n">
        <v>100</v>
      </c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</t>
        </is>
      </c>
      <c r="C5" s="59" t="inlineStr">
        <is>
          <t>Estructuracion</t>
        </is>
      </c>
      <c r="D5" s="60" t="inlineStr">
        <is>
          <t>Estudio previo</t>
        </is>
      </c>
      <c r="E5" s="61" t="n">
        <v>46056</v>
      </c>
      <c r="F5" s="61" t="n">
        <v>46081</v>
      </c>
      <c r="G5" s="62">
        <f>IF(F5="","",F5-TODAY())</f>
        <v/>
      </c>
      <c r="H5" s="63" t="n">
        <v>16</v>
      </c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</t>
        </is>
      </c>
      <c r="C6" s="59" t="inlineStr">
        <is>
          <t>Estructuracion</t>
        </is>
      </c>
      <c r="D6" s="60" t="inlineStr">
        <is>
          <t>Estudio de sector</t>
        </is>
      </c>
      <c r="E6" s="61" t="n">
        <v>46057</v>
      </c>
      <c r="F6" s="61" t="n">
        <v>46079</v>
      </c>
      <c r="G6" s="62">
        <f>IF(F6="","",F6-TODAY())</f>
        <v/>
      </c>
      <c r="H6" s="63" t="n">
        <v>9</v>
      </c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</t>
        </is>
      </c>
      <c r="C7" s="59" t="inlineStr">
        <is>
          <t>Estructuracion</t>
        </is>
      </c>
      <c r="D7" s="60" t="inlineStr">
        <is>
          <t>Estudio de mercado</t>
        </is>
      </c>
      <c r="E7" s="61" t="n">
        <v>46058</v>
      </c>
      <c r="F7" s="61" t="n">
        <v>46062</v>
      </c>
      <c r="G7" s="62">
        <f>IF(F7="","",F7-TODAY())</f>
        <v/>
      </c>
      <c r="H7" s="63" t="n">
        <v>20</v>
      </c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</t>
        </is>
      </c>
      <c r="C8" s="59" t="inlineStr">
        <is>
          <t>Estructuracion</t>
        </is>
      </c>
      <c r="D8" s="60" t="inlineStr">
        <is>
          <t>Ficha técnica</t>
        </is>
      </c>
      <c r="E8" s="61" t="n">
        <v>46059</v>
      </c>
      <c r="F8" s="61" t="n">
        <v>46066</v>
      </c>
      <c r="G8" s="62">
        <f>IF(F8="","",F8-TODAY())</f>
        <v/>
      </c>
      <c r="H8" s="63" t="n">
        <v>66</v>
      </c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</t>
        </is>
      </c>
      <c r="C9" s="59" t="inlineStr">
        <is>
          <t>Estructuracion</t>
        </is>
      </c>
      <c r="D9" s="60" t="inlineStr">
        <is>
          <t>Tarea 6</t>
        </is>
      </c>
      <c r="E9" s="61" t="n">
        <v>46060</v>
      </c>
      <c r="F9" s="61" t="n">
        <v>46078</v>
      </c>
      <c r="G9" s="62">
        <f>IF(F9="","",F9-TODAY())</f>
        <v/>
      </c>
      <c r="H9" s="63" t="n">
        <v>100</v>
      </c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</t>
        </is>
      </c>
      <c r="C10" s="59" t="inlineStr">
        <is>
          <t>Estructuracion</t>
        </is>
      </c>
      <c r="D10" s="60" t="inlineStr">
        <is>
          <t>Tarea 7</t>
        </is>
      </c>
      <c r="E10" s="61" t="n">
        <v>46061</v>
      </c>
      <c r="F10" s="61" t="n">
        <v>46066</v>
      </c>
      <c r="G10" s="62">
        <f>IF(F10="","",F10-TODAY())</f>
        <v/>
      </c>
      <c r="H10" s="63" t="n">
        <v>62</v>
      </c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</t>
        </is>
      </c>
      <c r="C11" s="59" t="inlineStr">
        <is>
          <t>Estructuracion</t>
        </is>
      </c>
      <c r="D11" s="60" t="inlineStr">
        <is>
          <t>Tarea 8</t>
        </is>
      </c>
      <c r="E11" s="61" t="n">
        <v>46062</v>
      </c>
      <c r="F11" s="61" t="n">
        <v>46066</v>
      </c>
      <c r="G11" s="62">
        <f>IF(F11="","",F11-TODAY())</f>
        <v/>
      </c>
      <c r="H11" s="63" t="n">
        <v>12</v>
      </c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</t>
        </is>
      </c>
      <c r="C12" s="59" t="inlineStr">
        <is>
          <t>Estructuracion</t>
        </is>
      </c>
      <c r="D12" s="60" t="inlineStr">
        <is>
          <t>Tarea 9</t>
        </is>
      </c>
      <c r="E12" s="61" t="n">
        <v>46063</v>
      </c>
      <c r="F12" s="61" t="n">
        <v>46072</v>
      </c>
      <c r="G12" s="62">
        <f>IF(F12="","",F12-TODAY())</f>
        <v/>
      </c>
      <c r="H12" s="63" t="n">
        <v>57</v>
      </c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</t>
        </is>
      </c>
      <c r="C13" s="59" t="inlineStr">
        <is>
          <t>Estructuracion</t>
        </is>
      </c>
      <c r="D13" s="60" t="inlineStr">
        <is>
          <t>Tarea 10</t>
        </is>
      </c>
      <c r="E13" s="61" t="n">
        <v>46064</v>
      </c>
      <c r="F13" s="61" t="n">
        <v>46068</v>
      </c>
      <c r="G13" s="62">
        <f>IF(F13="","",F13-TODAY())</f>
        <v/>
      </c>
      <c r="H13" s="63" t="n">
        <v>33</v>
      </c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</t>
        </is>
      </c>
      <c r="C14" s="59" t="inlineStr">
        <is>
          <t>Estructuracion</t>
        </is>
      </c>
      <c r="D14" s="60" t="inlineStr">
        <is>
          <t>Gestionar y escalar impedimentos con las áreas o responsables correspondientes lo que conlleva a un apoyo en la interacción con otras áreas</t>
        </is>
      </c>
      <c r="E14" s="61" t="n">
        <v>46065</v>
      </c>
      <c r="F14" s="61" t="n">
        <v>46070</v>
      </c>
      <c r="G14" s="62">
        <f>IF(F14="","",F14-TODAY())</f>
        <v/>
      </c>
      <c r="H14" s="63" t="n">
        <v>80</v>
      </c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74">
        <f>COUNTIF(I:I,"✅ Completada")/(COUNTA(D:D)-1)</f>
        <v/>
      </c>
      <c r="I19" s="73">
        <f>COUNTIF(I4:I18,"✅ Completada")&amp;" de "&amp;COUNTA(D4:D18)&amp;" tareas completadas"</f>
        <v/>
      </c>
      <c r="J19" s="136" t="n"/>
      <c r="K19" s="138">
        <f>COUNTIF(I:I,"✅ Completada")/(COUNTA(D:D)-1)</f>
        <v/>
      </c>
      <c r="L19" s="136" t="n"/>
    </row>
  </sheetData>
  <mergeCells count="4">
    <mergeCell ref="A1:J1"/>
    <mergeCell ref="A19:G19"/>
    <mergeCell ref="K19:L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Hoja7">
    <outlinePr summaryBelow="1" summaryRight="1"/>
    <pageSetUpPr/>
  </sheetPr>
  <dimension ref="A1:J19"/>
  <sheetViews>
    <sheetView showGridLines="0" zoomScale="95" zoomScaleNormal="95" workbookViewId="0">
      <selection activeCell="H19" sqref="H19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8.36328125" customWidth="1" style="78" min="7" max="7"/>
    <col width="12" customWidth="1" style="78" min="8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P2: EQUIPOS ACTIVOS DE RED ETAPA 3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</t>
        </is>
      </c>
      <c r="C4" s="59" t="inlineStr">
        <is>
          <t>Estructuracion</t>
        </is>
      </c>
      <c r="D4" s="60" t="inlineStr">
        <is>
          <t>Análisis de requerimientos</t>
        </is>
      </c>
      <c r="E4" s="61" t="n">
        <v>46071.25869087963</v>
      </c>
      <c r="F4" s="61" t="n">
        <v>46075.25869212963</v>
      </c>
      <c r="G4" s="75">
        <f>IF(F4="","",F4-TODAY())</f>
        <v/>
      </c>
      <c r="H4" s="63" t="n">
        <v>100</v>
      </c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</t>
        </is>
      </c>
      <c r="C5" s="59" t="inlineStr">
        <is>
          <t>Estructuracion</t>
        </is>
      </c>
      <c r="D5" s="60" t="inlineStr">
        <is>
          <t>Elaboración términos de referencia</t>
        </is>
      </c>
      <c r="E5" s="61" t="n">
        <v>46074.25869087963</v>
      </c>
      <c r="F5" s="61" t="n">
        <v>46081.25869087963</v>
      </c>
      <c r="G5" s="75">
        <f>IF(F5="","",F5-TODAY())</f>
        <v/>
      </c>
      <c r="H5" s="63" t="n">
        <v>60</v>
      </c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</t>
        </is>
      </c>
      <c r="C6" s="59" t="inlineStr">
        <is>
          <t>Estructuracion</t>
        </is>
      </c>
      <c r="D6" s="60" t="inlineStr">
        <is>
          <t>Estudio de mercado</t>
        </is>
      </c>
      <c r="E6" s="61" t="n">
        <v>46077.25869087963</v>
      </c>
      <c r="F6" s="61" t="n">
        <v>46092.25869087963</v>
      </c>
      <c r="G6" s="75">
        <f>IF(F6="","",F6-TODAY())</f>
        <v/>
      </c>
      <c r="H6" s="63" t="n">
        <v>40</v>
      </c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</t>
        </is>
      </c>
      <c r="C7" s="59" t="inlineStr">
        <is>
          <t>Estructuracion</t>
        </is>
      </c>
      <c r="D7" s="60" t="inlineStr">
        <is>
          <t>Certificado de disponibilidad presupuestal</t>
        </is>
      </c>
      <c r="E7" s="61" t="n">
        <v>46080.25869087963</v>
      </c>
      <c r="F7" s="61" t="n">
        <v>46095.25869087963</v>
      </c>
      <c r="G7" s="75">
        <f>IF(F7="","",F7-TODAY())</f>
        <v/>
      </c>
      <c r="H7" s="63" t="n">
        <v>25</v>
      </c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</t>
        </is>
      </c>
      <c r="C8" s="59" t="inlineStr">
        <is>
          <t>Estructuracion</t>
        </is>
      </c>
      <c r="D8" s="60" t="inlineStr">
        <is>
          <t>Revisión jurídica</t>
        </is>
      </c>
      <c r="E8" s="61" t="n">
        <v>46083.25869087963</v>
      </c>
      <c r="F8" s="61" t="n">
        <v>46089.25869087963</v>
      </c>
      <c r="G8" s="75">
        <f>IF(F8="","",F8-TODAY())</f>
        <v/>
      </c>
      <c r="H8" s="63" t="n">
        <v>10</v>
      </c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</t>
        </is>
      </c>
      <c r="C9" s="59" t="inlineStr">
        <is>
          <t>Estructuracion</t>
        </is>
      </c>
      <c r="D9" s="60" t="inlineStr">
        <is>
          <t>Publicación SECOP</t>
        </is>
      </c>
      <c r="E9" s="61" t="n">
        <v>46086.25869087963</v>
      </c>
      <c r="F9" s="61" t="n">
        <v>46093.25869087963</v>
      </c>
      <c r="G9" s="75">
        <f>IF(F9="","",F9-TODAY())</f>
        <v/>
      </c>
      <c r="H9" s="63" t="n">
        <v>5</v>
      </c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</t>
        </is>
      </c>
      <c r="C10" s="59" t="inlineStr">
        <is>
          <t>Estructuracion</t>
        </is>
      </c>
      <c r="D10" s="60" t="inlineStr">
        <is>
          <t>Recepción ofertas</t>
        </is>
      </c>
      <c r="E10" s="61" t="n">
        <v>46089.25869087963</v>
      </c>
      <c r="F10" s="61" t="n">
        <v>46100.25869087963</v>
      </c>
      <c r="G10" s="75">
        <f>IF(F10="","",F10-TODAY())</f>
        <v/>
      </c>
      <c r="H10" s="63" t="n">
        <v>0</v>
      </c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</t>
        </is>
      </c>
      <c r="C11" s="59" t="inlineStr">
        <is>
          <t>Estructuracion</t>
        </is>
      </c>
      <c r="D11" s="60" t="inlineStr">
        <is>
          <t>Evaluación técnica</t>
        </is>
      </c>
      <c r="E11" s="61" t="n">
        <v>46092.25869087963</v>
      </c>
      <c r="F11" s="61" t="n">
        <v>46100.25869087963</v>
      </c>
      <c r="G11" s="75">
        <f>IF(F11="","",F11-TODAY())</f>
        <v/>
      </c>
      <c r="H11" s="63" t="n">
        <v>0</v>
      </c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</t>
        </is>
      </c>
      <c r="C12" s="59" t="inlineStr">
        <is>
          <t>Estructuracion</t>
        </is>
      </c>
      <c r="D12" s="60" t="inlineStr">
        <is>
          <t>Evaluación económica</t>
        </is>
      </c>
      <c r="E12" s="61" t="n">
        <v>46095.25869087963</v>
      </c>
      <c r="F12" s="61" t="n">
        <v>46107.25869087963</v>
      </c>
      <c r="G12" s="75">
        <f>IF(F12="","",F12-TODAY())</f>
        <v/>
      </c>
      <c r="H12" s="63" t="n">
        <v>0</v>
      </c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</t>
        </is>
      </c>
      <c r="C13" s="59" t="inlineStr">
        <is>
          <t>Estructuracion</t>
        </is>
      </c>
      <c r="D13" s="60" t="inlineStr">
        <is>
          <t>Informe de evaluación</t>
        </is>
      </c>
      <c r="E13" s="61" t="n">
        <v>46098.25869087963</v>
      </c>
      <c r="F13" s="61" t="n">
        <v>46106.25869087963</v>
      </c>
      <c r="G13" s="75">
        <f>IF(F13="","",F13-TODAY())</f>
        <v/>
      </c>
      <c r="H13" s="63" t="n">
        <v>0</v>
      </c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</t>
        </is>
      </c>
      <c r="C14" s="59" t="inlineStr">
        <is>
          <t>Estructuracion</t>
        </is>
      </c>
      <c r="D14" s="60" t="inlineStr">
        <is>
          <t>Adjudicación</t>
        </is>
      </c>
      <c r="E14" s="61" t="n">
        <v>46101.25869087963</v>
      </c>
      <c r="F14" s="61" t="n">
        <v>46110.25869087963</v>
      </c>
      <c r="G14" s="75">
        <f>IF(F14="","",F14-TODAY())</f>
        <v/>
      </c>
      <c r="H14" s="63" t="n">
        <v>0</v>
      </c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</t>
        </is>
      </c>
      <c r="C15" s="59" t="n"/>
      <c r="D15" s="60" t="n"/>
      <c r="E15" s="61" t="n"/>
      <c r="F15" s="61" t="n"/>
      <c r="G15" s="75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</t>
        </is>
      </c>
      <c r="C16" s="59" t="n"/>
      <c r="D16" s="60" t="n"/>
      <c r="E16" s="61" t="n"/>
      <c r="F16" s="61" t="n"/>
      <c r="G16" s="75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</t>
        </is>
      </c>
      <c r="C17" s="59" t="n"/>
      <c r="D17" s="60" t="n"/>
      <c r="E17" s="61" t="n"/>
      <c r="F17" s="61" t="n"/>
      <c r="G17" s="75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</t>
        </is>
      </c>
      <c r="C18" s="59" t="n"/>
      <c r="D18" s="60" t="n"/>
      <c r="E18" s="61" t="n"/>
      <c r="F18" s="61" t="n"/>
      <c r="G18" s="75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74">
        <f>COUNTIF(I:I,"✅ Completada")/(COUNTA(D:D)-1)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  <pageSetup orientation="portrait" horizontalDpi="4294967292" verticalDpi="0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J19"/>
  <sheetViews>
    <sheetView showGridLines="0" workbookViewId="0">
      <selection activeCell="A1" sqref="A1:J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P3: GOOGLE WORKSPACE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P3</t>
        </is>
      </c>
      <c r="C4" s="59" t="inlineStr">
        <is>
          <t>pelea</t>
        </is>
      </c>
      <c r="D4" s="60" t="inlineStr">
        <is>
          <t>Radicar</t>
        </is>
      </c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P3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P3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P3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P3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P3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P3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P3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P3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P3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P3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P3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P3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P3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P3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Hoja9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P4: NUBE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P4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P4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P4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P4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P4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P4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P4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P4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P4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P4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P4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P4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P4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P4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P4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Hoja10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P5: IMPRESIÓN ETIQUETAS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P5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P5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P5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P5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P5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P5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P5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P5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P5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P5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P5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P5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P5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P5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P5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Hoja11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P6: ARQUITECTURA EMPRESARIAL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P6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P6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P6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P6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P6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P6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P6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P6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P6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P6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P6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P6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P6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P6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P6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Hoja12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P7: LICENCIAS MICROSOFT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P7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P7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P7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P7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P7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P7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P7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P7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P7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P7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P7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P7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P7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P7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P7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Hoja13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P8: ANTIVIRUS Y XDR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P8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P8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P8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P8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P8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P8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P8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P8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P8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P8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P8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P8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P8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P8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P8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Hoja14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P9: TRANSCAD TRANSMODELER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P9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P9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P9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P9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P9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P9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P9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P9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P9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P9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P9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P9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P9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P9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P9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Hoja15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P10: EMME DYBAMEQ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P10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P10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P10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P10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P10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P10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P10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P10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P10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P10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P10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P10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P10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P10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P10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Hoja16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P11: LICENCIAMIENTO ORACLE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P11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P11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P11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P11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P11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P11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P11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P11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P11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P11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P11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P11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P11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P11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P11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Hoja17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P12: ARCGIS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P12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P12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P12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P12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P12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P12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P12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P12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P12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P12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P12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P12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P12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P12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P12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Hoja18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P13: LICENCIAMIENTO ORACLE LINUX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P13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P13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P13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P13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P13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P13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P13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P13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P13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P13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P13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P13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P13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P13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P13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Hoja19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P14: LICENCIACION ADOBE ACROBAT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P14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P14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P14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P14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P14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P14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P14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P14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P14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P14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P14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P14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P14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P14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P14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Hoja20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P15: LENOVO XCLARITY PRO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P15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P15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P15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P15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P15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P15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P15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P15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P15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P15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P15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P15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P15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P15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P15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Hoja21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P16: NAGIOS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P16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P16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P16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P16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P16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P16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P16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P16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P16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P16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P16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P16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P16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P16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P16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Hoja22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P17: PALO ALTO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P17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P17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P17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P17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P17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P17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P17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P17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P17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P17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P17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P17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P17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P17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P17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Hoja23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P18: NETBACKUP VERITAS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P18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P18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P18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P18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P18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P18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P18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P18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P18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P18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P18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P18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P18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P18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P18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Hoja24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P19: LICENCIAMIENTO AUTODESK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P19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P19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P19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P19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P19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P19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P19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P19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P19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P19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P19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P19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P19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P19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P19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Hoja25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P20: AUDITORIA CONTINUIIDAD DEL NEGOCIO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P20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P20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P20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P20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P20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P20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P20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P20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P20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P20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P20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P20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P20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P20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P20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Hoja26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P21: AUDITORIA SEGURIDAD DE LA INFORMACION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P21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P21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P21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P21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P21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P21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P21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P21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P21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P21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P21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P21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P21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P21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P21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>
  <sheetPr codeName="Hoja27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P22: ETAPA 2 SOLUCIONES PLATAFORMA TECNOLOGICA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P22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P22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P22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P22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P22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P22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P22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P22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P22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P22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P22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P22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P22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P22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P22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>
  <sheetPr codeName="Hoja28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P23: SOPORTE INFORMIX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P23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P23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P23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P23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P23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P23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P23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P23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P23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P23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P23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P23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P23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P23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P23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>
  <sheetPr codeName="Hoja29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P24: WAF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P24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P24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P24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P24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P24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P24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P24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P24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P24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P24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P24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P24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P24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P24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P24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>
  <sheetPr codeName="Hoja30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P25: AUDITORIAS INTERNAS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P25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P25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P25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P25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P25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P25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P25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P25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P25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P25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P25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P25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P25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P25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P25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>
  <sheetPr codeName="Hoja31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P26: SOPORTE PREMIER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P26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P26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P26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P26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P26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P26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P26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P26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P26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P26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P26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P26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P26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P26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P26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3.xml><?xml version="1.0" encoding="utf-8"?>
<worksheet xmlns="http://schemas.openxmlformats.org/spreadsheetml/2006/main">
  <sheetPr codeName="Hoja32">
    <outlinePr summaryBelow="1" summaryRight="1"/>
    <pageSetUpPr/>
  </sheetPr>
  <dimension ref="A1:J19"/>
  <sheetViews>
    <sheetView showGridLines="0" workbookViewId="0">
      <selection activeCell="A1" sqref="A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P27: FIRMA DIGITAL  QUITAR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P27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P27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P27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P27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P27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P27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P27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P27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P27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P27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P27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P27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P27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P27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P27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xl/worksheets/sheet34.xml><?xml version="1.0" encoding="utf-8"?>
<worksheet xmlns="http://schemas.openxmlformats.org/spreadsheetml/2006/main">
  <sheetPr codeName="Hoja33">
    <outlinePr summaryBelow="1" summaryRight="1"/>
    <pageSetUpPr/>
  </sheetPr>
  <dimension ref="A1:J19"/>
  <sheetViews>
    <sheetView showGridLines="0" workbookViewId="0">
      <selection activeCell="A1" sqref="A1:J1"/>
    </sheetView>
  </sheetViews>
  <sheetFormatPr baseColWidth="10" defaultColWidth="8.7265625" defaultRowHeight="14.5"/>
  <cols>
    <col width="4" customWidth="1" style="78" min="1" max="1"/>
    <col width="6" customWidth="1" style="78" min="2" max="2"/>
    <col width="20" customWidth="1" style="78" min="3" max="3"/>
    <col width="30" customWidth="1" style="78" min="4" max="4"/>
    <col width="14" customWidth="1" style="78" min="5" max="6"/>
    <col width="12" customWidth="1" style="78" min="7" max="8"/>
    <col width="16" customWidth="1" style="78" min="9" max="9"/>
    <col width="12" customWidth="1" style="78" min="10" max="10"/>
  </cols>
  <sheetData>
    <row r="1" ht="32" customHeight="1" s="78">
      <c r="A1" s="140" t="inlineStr">
        <is>
          <t>📋  PLAN DE TRABAJO — P28: API QUITAR</t>
        </is>
      </c>
    </row>
    <row r="2" ht="18" customHeight="1" s="78">
      <c r="A2" s="137" t="inlineStr">
        <is>
          <t>⚠️  Campos AMARILLOS: ingresar datos  |  Campos GRISES: calculados automáticamente  |  % Avance: 0-100</t>
        </is>
      </c>
    </row>
    <row r="3" ht="30" customHeight="1" s="78">
      <c r="A3" s="49" t="inlineStr">
        <is>
          <t>#</t>
        </is>
      </c>
      <c r="B3" s="49" t="inlineStr">
        <is>
          <t>ID</t>
        </is>
      </c>
      <c r="C3" s="49" t="inlineStr">
        <is>
          <t>FASE</t>
        </is>
      </c>
      <c r="D3" s="49" t="inlineStr">
        <is>
          <t>NOMBRE DE LA TAREA</t>
        </is>
      </c>
      <c r="E3" s="49" t="inlineStr">
        <is>
          <t>F. INICIO</t>
        </is>
      </c>
      <c r="F3" s="49" t="inlineStr">
        <is>
          <t>F. FIN
COMPROMETIDA</t>
        </is>
      </c>
      <c r="G3" s="49" t="inlineStr">
        <is>
          <t>DÍAS REST.</t>
        </is>
      </c>
      <c r="H3" s="49" t="inlineStr">
        <is>
          <t>% AVANCE</t>
        </is>
      </c>
      <c r="I3" s="49" t="inlineStr">
        <is>
          <t>ESTADO</t>
        </is>
      </c>
      <c r="J3" s="49" t="inlineStr">
        <is>
          <t>PROGRESO</t>
        </is>
      </c>
    </row>
    <row r="4" ht="22" customHeight="1" s="78">
      <c r="A4" s="58" t="n">
        <v>1</v>
      </c>
      <c r="B4" s="58" t="inlineStr">
        <is>
          <t>P28</t>
        </is>
      </c>
      <c r="C4" s="59" t="n"/>
      <c r="D4" s="60" t="n"/>
      <c r="E4" s="61" t="n"/>
      <c r="F4" s="61" t="n"/>
      <c r="G4" s="62">
        <f>IF(F4="","",F4-TODAY())</f>
        <v/>
      </c>
      <c r="H4" s="63" t="n"/>
      <c r="I4" s="64">
        <f>IF(D4="","",IF(H4=100,"✅ Completada",IF(F4="","",IF(F4&lt;TODAY(),"🔴 Vencida",IF(G4&lt;=5,"🟡 Por vencer","🟢 En tiempo")))))</f>
        <v/>
      </c>
      <c r="J4" s="65">
        <f>IF(H4="","",REPT("█",ROUND(H4/10,0))&amp;" "&amp;H4&amp;"%")</f>
        <v/>
      </c>
    </row>
    <row r="5" ht="22" customHeight="1" s="78">
      <c r="A5" s="58" t="n">
        <v>2</v>
      </c>
      <c r="B5" s="58" t="inlineStr">
        <is>
          <t>P28</t>
        </is>
      </c>
      <c r="C5" s="59" t="n"/>
      <c r="D5" s="60" t="n"/>
      <c r="E5" s="61" t="n"/>
      <c r="F5" s="61" t="n"/>
      <c r="G5" s="62">
        <f>IF(F5="","",F5-TODAY())</f>
        <v/>
      </c>
      <c r="H5" s="63" t="n"/>
      <c r="I5" s="64">
        <f>IF(D5="","",IF(H5=100,"✅ Completada",IF(F5="","",IF(F5&lt;TODAY(),"🔴 Vencida",IF(G5&lt;=5,"🟡 Por vencer","🟢 En tiempo")))))</f>
        <v/>
      </c>
      <c r="J5" s="65">
        <f>IF(H5="","",REPT("█",ROUND(H5/10,0))&amp;" "&amp;H5&amp;"%")</f>
        <v/>
      </c>
    </row>
    <row r="6" ht="22" customHeight="1" s="78">
      <c r="A6" s="58" t="n">
        <v>3</v>
      </c>
      <c r="B6" s="58" t="inlineStr">
        <is>
          <t>P28</t>
        </is>
      </c>
      <c r="C6" s="59" t="n"/>
      <c r="D6" s="60" t="n"/>
      <c r="E6" s="61" t="n"/>
      <c r="F6" s="61" t="n"/>
      <c r="G6" s="62">
        <f>IF(F6="","",F6-TODAY())</f>
        <v/>
      </c>
      <c r="H6" s="63" t="n"/>
      <c r="I6" s="64">
        <f>IF(D6="","",IF(H6=100,"✅ Completada",IF(F6="","",IF(F6&lt;TODAY(),"🔴 Vencida",IF(G6&lt;=5,"🟡 Por vencer","🟢 En tiempo")))))</f>
        <v/>
      </c>
      <c r="J6" s="65">
        <f>IF(H6="","",REPT("█",ROUND(H6/10,0))&amp;" "&amp;H6&amp;"%")</f>
        <v/>
      </c>
    </row>
    <row r="7" ht="22" customHeight="1" s="78">
      <c r="A7" s="58" t="n">
        <v>4</v>
      </c>
      <c r="B7" s="58" t="inlineStr">
        <is>
          <t>P28</t>
        </is>
      </c>
      <c r="C7" s="59" t="n"/>
      <c r="D7" s="60" t="n"/>
      <c r="E7" s="61" t="n"/>
      <c r="F7" s="61" t="n"/>
      <c r="G7" s="62">
        <f>IF(F7="","",F7-TODAY())</f>
        <v/>
      </c>
      <c r="H7" s="63" t="n"/>
      <c r="I7" s="64">
        <f>IF(D7="","",IF(H7=100,"✅ Completada",IF(F7="","",IF(F7&lt;TODAY(),"🔴 Vencida",IF(G7&lt;=5,"🟡 Por vencer","🟢 En tiempo")))))</f>
        <v/>
      </c>
      <c r="J7" s="65">
        <f>IF(H7="","",REPT("█",ROUND(H7/10,0))&amp;" "&amp;H7&amp;"%")</f>
        <v/>
      </c>
    </row>
    <row r="8" ht="22" customHeight="1" s="78">
      <c r="A8" s="58" t="n">
        <v>5</v>
      </c>
      <c r="B8" s="58" t="inlineStr">
        <is>
          <t>P28</t>
        </is>
      </c>
      <c r="C8" s="59" t="n"/>
      <c r="D8" s="60" t="n"/>
      <c r="E8" s="61" t="n"/>
      <c r="F8" s="61" t="n"/>
      <c r="G8" s="62">
        <f>IF(F8="","",F8-TODAY())</f>
        <v/>
      </c>
      <c r="H8" s="63" t="n"/>
      <c r="I8" s="64">
        <f>IF(D8="","",IF(H8=100,"✅ Completada",IF(F8="","",IF(F8&lt;TODAY(),"🔴 Vencida",IF(G8&lt;=5,"🟡 Por vencer","🟢 En tiempo")))))</f>
        <v/>
      </c>
      <c r="J8" s="65">
        <f>IF(H8="","",REPT("█",ROUND(H8/10,0))&amp;" "&amp;H8&amp;"%")</f>
        <v/>
      </c>
    </row>
    <row r="9" ht="22" customHeight="1" s="78">
      <c r="A9" s="58" t="n">
        <v>6</v>
      </c>
      <c r="B9" s="58" t="inlineStr">
        <is>
          <t>P28</t>
        </is>
      </c>
      <c r="C9" s="59" t="n"/>
      <c r="D9" s="60" t="n"/>
      <c r="E9" s="61" t="n"/>
      <c r="F9" s="61" t="n"/>
      <c r="G9" s="62">
        <f>IF(F9="","",F9-TODAY())</f>
        <v/>
      </c>
      <c r="H9" s="63" t="n"/>
      <c r="I9" s="64">
        <f>IF(D9="","",IF(H9=100,"✅ Completada",IF(F9="","",IF(F9&lt;TODAY(),"🔴 Vencida",IF(G9&lt;=5,"🟡 Por vencer","🟢 En tiempo")))))</f>
        <v/>
      </c>
      <c r="J9" s="65">
        <f>IF(H9="","",REPT("█",ROUND(H9/10,0))&amp;" "&amp;H9&amp;"%")</f>
        <v/>
      </c>
    </row>
    <row r="10" ht="22" customHeight="1" s="78">
      <c r="A10" s="58" t="n">
        <v>7</v>
      </c>
      <c r="B10" s="58" t="inlineStr">
        <is>
          <t>P28</t>
        </is>
      </c>
      <c r="C10" s="59" t="n"/>
      <c r="D10" s="60" t="n"/>
      <c r="E10" s="61" t="n"/>
      <c r="F10" s="61" t="n"/>
      <c r="G10" s="62">
        <f>IF(F10="","",F10-TODAY())</f>
        <v/>
      </c>
      <c r="H10" s="63" t="n"/>
      <c r="I10" s="64">
        <f>IF(D10="","",IF(H10=100,"✅ Completada",IF(F10="","",IF(F10&lt;TODAY(),"🔴 Vencida",IF(G10&lt;=5,"🟡 Por vencer","🟢 En tiempo")))))</f>
        <v/>
      </c>
      <c r="J10" s="65">
        <f>IF(H10="","",REPT("█",ROUND(H10/10,0))&amp;" "&amp;H10&amp;"%")</f>
        <v/>
      </c>
    </row>
    <row r="11" ht="22" customHeight="1" s="78">
      <c r="A11" s="58" t="n">
        <v>8</v>
      </c>
      <c r="B11" s="58" t="inlineStr">
        <is>
          <t>P28</t>
        </is>
      </c>
      <c r="C11" s="59" t="n"/>
      <c r="D11" s="60" t="n"/>
      <c r="E11" s="61" t="n"/>
      <c r="F11" s="61" t="n"/>
      <c r="G11" s="62">
        <f>IF(F11="","",F11-TODAY())</f>
        <v/>
      </c>
      <c r="H11" s="63" t="n"/>
      <c r="I11" s="64">
        <f>IF(D11="","",IF(H11=100,"✅ Completada",IF(F11="","",IF(F11&lt;TODAY(),"🔴 Vencida",IF(G11&lt;=5,"🟡 Por vencer","🟢 En tiempo")))))</f>
        <v/>
      </c>
      <c r="J11" s="65">
        <f>IF(H11="","",REPT("█",ROUND(H11/10,0))&amp;" "&amp;H11&amp;"%")</f>
        <v/>
      </c>
    </row>
    <row r="12" ht="22" customHeight="1" s="78">
      <c r="A12" s="58" t="n">
        <v>9</v>
      </c>
      <c r="B12" s="58" t="inlineStr">
        <is>
          <t>P28</t>
        </is>
      </c>
      <c r="C12" s="59" t="n"/>
      <c r="D12" s="60" t="n"/>
      <c r="E12" s="61" t="n"/>
      <c r="F12" s="61" t="n"/>
      <c r="G12" s="62">
        <f>IF(F12="","",F12-TODAY())</f>
        <v/>
      </c>
      <c r="H12" s="63" t="n"/>
      <c r="I12" s="64">
        <f>IF(D12="","",IF(H12=100,"✅ Completada",IF(F12="","",IF(F12&lt;TODAY(),"🔴 Vencida",IF(G12&lt;=5,"🟡 Por vencer","🟢 En tiempo")))))</f>
        <v/>
      </c>
      <c r="J12" s="65">
        <f>IF(H12="","",REPT("█",ROUND(H12/10,0))&amp;" "&amp;H12&amp;"%")</f>
        <v/>
      </c>
    </row>
    <row r="13" ht="22" customHeight="1" s="78">
      <c r="A13" s="58" t="n">
        <v>10</v>
      </c>
      <c r="B13" s="58" t="inlineStr">
        <is>
          <t>P28</t>
        </is>
      </c>
      <c r="C13" s="59" t="n"/>
      <c r="D13" s="60" t="n"/>
      <c r="E13" s="61" t="n"/>
      <c r="F13" s="61" t="n"/>
      <c r="G13" s="62">
        <f>IF(F13="","",F13-TODAY())</f>
        <v/>
      </c>
      <c r="H13" s="63" t="n"/>
      <c r="I13" s="64">
        <f>IF(D13="","",IF(H13=100,"✅ Completada",IF(F13="","",IF(F13&lt;TODAY(),"🔴 Vencida",IF(G13&lt;=5,"🟡 Por vencer","🟢 En tiempo")))))</f>
        <v/>
      </c>
      <c r="J13" s="65">
        <f>IF(H13="","",REPT("█",ROUND(H13/10,0))&amp;" "&amp;H13&amp;"%")</f>
        <v/>
      </c>
    </row>
    <row r="14" ht="22" customHeight="1" s="78">
      <c r="A14" s="58" t="n">
        <v>11</v>
      </c>
      <c r="B14" s="58" t="inlineStr">
        <is>
          <t>P28</t>
        </is>
      </c>
      <c r="C14" s="59" t="n"/>
      <c r="D14" s="60" t="n"/>
      <c r="E14" s="61" t="n"/>
      <c r="F14" s="61" t="n"/>
      <c r="G14" s="62">
        <f>IF(F14="","",F14-TODAY())</f>
        <v/>
      </c>
      <c r="H14" s="63" t="n"/>
      <c r="I14" s="64">
        <f>IF(D14="","",IF(H14=100,"✅ Completada",IF(F14="","",IF(F14&lt;TODAY(),"🔴 Vencida",IF(G14&lt;=5,"🟡 Por vencer","🟢 En tiempo")))))</f>
        <v/>
      </c>
      <c r="J14" s="65">
        <f>IF(H14="","",REPT("█",ROUND(H14/10,0))&amp;" "&amp;H14&amp;"%")</f>
        <v/>
      </c>
    </row>
    <row r="15" ht="22" customHeight="1" s="78">
      <c r="A15" s="58" t="n">
        <v>12</v>
      </c>
      <c r="B15" s="58" t="inlineStr">
        <is>
          <t>P28</t>
        </is>
      </c>
      <c r="C15" s="59" t="n"/>
      <c r="D15" s="60" t="n"/>
      <c r="E15" s="61" t="n"/>
      <c r="F15" s="61" t="n"/>
      <c r="G15" s="62">
        <f>IF(F15="","",F15-TODAY())</f>
        <v/>
      </c>
      <c r="H15" s="63" t="n"/>
      <c r="I15" s="64">
        <f>IF(D15="","",IF(H15=100,"✅ Completada",IF(F15="","",IF(F15&lt;TODAY(),"🔴 Vencida",IF(G15&lt;=5,"🟡 Por vencer","🟢 En tiempo")))))</f>
        <v/>
      </c>
      <c r="J15" s="65">
        <f>IF(H15="","",REPT("█",ROUND(H15/10,0))&amp;" "&amp;H15&amp;"%")</f>
        <v/>
      </c>
    </row>
    <row r="16" ht="22" customHeight="1" s="78">
      <c r="A16" s="58" t="n">
        <v>13</v>
      </c>
      <c r="B16" s="58" t="inlineStr">
        <is>
          <t>P28</t>
        </is>
      </c>
      <c r="C16" s="59" t="n"/>
      <c r="D16" s="60" t="n"/>
      <c r="E16" s="61" t="n"/>
      <c r="F16" s="61" t="n"/>
      <c r="G16" s="62">
        <f>IF(F16="","",F16-TODAY())</f>
        <v/>
      </c>
      <c r="H16" s="63" t="n"/>
      <c r="I16" s="64">
        <f>IF(D16="","",IF(H16=100,"✅ Completada",IF(F16="","",IF(F16&lt;TODAY(),"🔴 Vencida",IF(G16&lt;=5,"🟡 Por vencer","🟢 En tiempo")))))</f>
        <v/>
      </c>
      <c r="J16" s="65">
        <f>IF(H16="","",REPT("█",ROUND(H16/10,0))&amp;" "&amp;H16&amp;"%")</f>
        <v/>
      </c>
    </row>
    <row r="17" ht="22" customHeight="1" s="78">
      <c r="A17" s="58" t="n">
        <v>14</v>
      </c>
      <c r="B17" s="58" t="inlineStr">
        <is>
          <t>P28</t>
        </is>
      </c>
      <c r="C17" s="59" t="n"/>
      <c r="D17" s="60" t="n"/>
      <c r="E17" s="61" t="n"/>
      <c r="F17" s="61" t="n"/>
      <c r="G17" s="62">
        <f>IF(F17="","",F17-TODAY())</f>
        <v/>
      </c>
      <c r="H17" s="63" t="n"/>
      <c r="I17" s="64">
        <f>IF(D17="","",IF(H17=100,"✅ Completada",IF(F17="","",IF(F17&lt;TODAY(),"🔴 Vencida",IF(G17&lt;=5,"🟡 Por vencer","🟢 En tiempo")))))</f>
        <v/>
      </c>
      <c r="J17" s="65">
        <f>IF(H17="","",REPT("█",ROUND(H17/10,0))&amp;" "&amp;H17&amp;"%")</f>
        <v/>
      </c>
    </row>
    <row r="18" ht="22" customHeight="1" s="78">
      <c r="A18" s="58" t="n">
        <v>15</v>
      </c>
      <c r="B18" s="58" t="inlineStr">
        <is>
          <t>P28</t>
        </is>
      </c>
      <c r="C18" s="59" t="n"/>
      <c r="D18" s="60" t="n"/>
      <c r="E18" s="61" t="n"/>
      <c r="F18" s="61" t="n"/>
      <c r="G18" s="62">
        <f>IF(F18="","",F18-TODAY())</f>
        <v/>
      </c>
      <c r="H18" s="63" t="n"/>
      <c r="I18" s="64">
        <f>IF(D18="","",IF(H18=100,"✅ Completada",IF(F18="","",IF(F18&lt;TODAY(),"🔴 Vencida",IF(G18&lt;=5,"🟡 Por vencer","🟢 En tiempo")))))</f>
        <v/>
      </c>
      <c r="J18" s="65">
        <f>IF(H18="","",REPT("█",ROUND(H18/10,0))&amp;" "&amp;H18&amp;"%")</f>
        <v/>
      </c>
    </row>
    <row r="19" ht="25" customHeight="1" s="78">
      <c r="A19" s="134" t="inlineStr">
        <is>
          <t>📊  PROGRESO GENERAL DEL PROYECTO</t>
        </is>
      </c>
      <c r="B19" s="135" t="n"/>
      <c r="C19" s="135" t="n"/>
      <c r="D19" s="135" t="n"/>
      <c r="E19" s="135" t="n"/>
      <c r="F19" s="135" t="n"/>
      <c r="G19" s="136" t="n"/>
      <c r="H19" s="66">
        <f>IFERROR(AVERAGE(IF(H4:H18&lt;&gt;"",H4:H18)),0)</f>
        <v/>
      </c>
      <c r="I19" s="141">
        <f>COUNTIF(I4:I18,"✅ Completada")&amp;" de "&amp;COUNTA(D4:D18)&amp;" tareas completadas"</f>
        <v/>
      </c>
      <c r="J19" s="136" t="n"/>
    </row>
  </sheetData>
  <mergeCells count="4">
    <mergeCell ref="A1:J1"/>
    <mergeCell ref="A19:G19"/>
    <mergeCell ref="I19:J19"/>
    <mergeCell ref="A2:J2"/>
  </mergeCells>
  <dataValidations count="1">
    <dataValidation sqref="H4:H18" showDropDown="0" showInputMessage="0" showErrorMessage="1" allowBlank="0" errorTitle="Error" error="Ingrese un valor entre 0 y 100" type="whole">
      <formula1>0</formula1>
      <formula2>100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2026-02-17T20:20:56Z</dcterms:created>
  <dcterms:modified xmlns:dcterms="http://purl.org/dc/terms/" xmlns:xsi="http://www.w3.org/2001/XMLSchema-instance" xsi:type="dcterms:W3CDTF">2026-02-20T22:34:57Z</dcterms:modified>
  <cp:lastModifiedBy>OSWALDO</cp:lastModifiedBy>
  <cp:revision>0</cp:revision>
</cp:coreProperties>
</file>