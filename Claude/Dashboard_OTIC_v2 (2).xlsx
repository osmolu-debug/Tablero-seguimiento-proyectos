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0e57d0469f59024/Documentos/Trabajo IAs/Claude/"/>
    </mc:Choice>
  </mc:AlternateContent>
  <xr:revisionPtr revIDLastSave="5" documentId="8_{827FEF4B-A2A8-4DBC-A19F-20E7D1F2E1F1}" xr6:coauthVersionLast="43" xr6:coauthVersionMax="43" xr10:uidLastSave="{423BCD6F-847B-4241-A2D4-8ACA0C4AFACE}"/>
  <bookViews>
    <workbookView xWindow="-110" yWindow="-110" windowWidth="19420" windowHeight="10300" tabRatio="500" activeTab="2" xr2:uid="{00000000-000D-0000-FFFF-FFFF00000000}"/>
  </bookViews>
  <sheets>
    <sheet name="📋 Instrucciones" sheetId="1" r:id="rId1"/>
    <sheet name="Data Original" sheetId="2" r:id="rId2"/>
    <sheet name="🚀 Exportar" sheetId="3" r:id="rId3"/>
    <sheet name="Formulario Tareas" sheetId="4" r:id="rId4"/>
    <sheet name="Dashboard" sheetId="5" r:id="rId5"/>
    <sheet name="P1" sheetId="6" r:id="rId6"/>
    <sheet name="P2" sheetId="7" r:id="rId7"/>
    <sheet name="P3" sheetId="8" r:id="rId8"/>
    <sheet name="P4" sheetId="9" r:id="rId9"/>
    <sheet name="P5" sheetId="10" r:id="rId10"/>
    <sheet name="P6" sheetId="11" r:id="rId11"/>
    <sheet name="P7" sheetId="12" r:id="rId12"/>
    <sheet name="P8" sheetId="13" r:id="rId13"/>
    <sheet name="P9" sheetId="14" r:id="rId14"/>
    <sheet name="P10" sheetId="15" r:id="rId15"/>
    <sheet name="P11" sheetId="16" r:id="rId16"/>
    <sheet name="P12" sheetId="17" r:id="rId17"/>
    <sheet name="P13" sheetId="18" r:id="rId18"/>
    <sheet name="P14" sheetId="19" r:id="rId19"/>
    <sheet name="P15" sheetId="20" r:id="rId20"/>
    <sheet name="P16" sheetId="21" r:id="rId21"/>
    <sheet name="P17" sheetId="22" r:id="rId22"/>
    <sheet name="P18" sheetId="23" r:id="rId23"/>
    <sheet name="P19" sheetId="24" r:id="rId24"/>
    <sheet name="P20" sheetId="25" r:id="rId25"/>
    <sheet name="P21" sheetId="26" r:id="rId26"/>
    <sheet name="P22" sheetId="27" r:id="rId27"/>
    <sheet name="P23" sheetId="28" r:id="rId28"/>
    <sheet name="P24" sheetId="29" r:id="rId29"/>
    <sheet name="P25" sheetId="30" r:id="rId30"/>
    <sheet name="P26" sheetId="31" r:id="rId31"/>
    <sheet name="P27" sheetId="32" r:id="rId32"/>
    <sheet name="P28" sheetId="33" r:id="rId33"/>
    <sheet name="P29" sheetId="34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19" i="34" l="1"/>
  <c r="J18" i="34"/>
  <c r="I18" i="34"/>
  <c r="G18" i="34"/>
  <c r="J17" i="34"/>
  <c r="I17" i="34"/>
  <c r="G17" i="34"/>
  <c r="J16" i="34"/>
  <c r="I16" i="34"/>
  <c r="G16" i="34"/>
  <c r="J15" i="34"/>
  <c r="I15" i="34"/>
  <c r="G15" i="34"/>
  <c r="J14" i="34"/>
  <c r="I14" i="34"/>
  <c r="G14" i="34"/>
  <c r="J13" i="34"/>
  <c r="I13" i="34"/>
  <c r="G13" i="34"/>
  <c r="J12" i="34"/>
  <c r="I12" i="34"/>
  <c r="G12" i="34"/>
  <c r="J11" i="34"/>
  <c r="I11" i="34"/>
  <c r="G11" i="34"/>
  <c r="J10" i="34"/>
  <c r="I10" i="34"/>
  <c r="G10" i="34"/>
  <c r="J9" i="34"/>
  <c r="I9" i="34"/>
  <c r="G9" i="34"/>
  <c r="J8" i="34"/>
  <c r="I8" i="34"/>
  <c r="G8" i="34"/>
  <c r="J7" i="34"/>
  <c r="I7" i="34"/>
  <c r="G7" i="34"/>
  <c r="J6" i="34"/>
  <c r="I6" i="34"/>
  <c r="G6" i="34"/>
  <c r="J5" i="34"/>
  <c r="I5" i="34"/>
  <c r="G5" i="34"/>
  <c r="J4" i="34"/>
  <c r="I4" i="34"/>
  <c r="G4" i="34"/>
  <c r="H19" i="33"/>
  <c r="J18" i="33"/>
  <c r="I18" i="33"/>
  <c r="G18" i="33"/>
  <c r="J17" i="33"/>
  <c r="I17" i="33"/>
  <c r="G17" i="33"/>
  <c r="J16" i="33"/>
  <c r="I16" i="33"/>
  <c r="G16" i="33"/>
  <c r="J15" i="33"/>
  <c r="I15" i="33"/>
  <c r="G15" i="33"/>
  <c r="J14" i="33"/>
  <c r="I14" i="33"/>
  <c r="G14" i="33"/>
  <c r="J13" i="33"/>
  <c r="I13" i="33"/>
  <c r="G13" i="33"/>
  <c r="J12" i="33"/>
  <c r="I12" i="33"/>
  <c r="G12" i="33"/>
  <c r="J11" i="33"/>
  <c r="I11" i="33"/>
  <c r="G11" i="33"/>
  <c r="J10" i="33"/>
  <c r="I10" i="33"/>
  <c r="G10" i="33"/>
  <c r="J9" i="33"/>
  <c r="I9" i="33"/>
  <c r="G9" i="33"/>
  <c r="J8" i="33"/>
  <c r="I8" i="33"/>
  <c r="G8" i="33"/>
  <c r="J7" i="33"/>
  <c r="I7" i="33"/>
  <c r="G7" i="33"/>
  <c r="J6" i="33"/>
  <c r="I6" i="33"/>
  <c r="G6" i="33"/>
  <c r="J5" i="33"/>
  <c r="I5" i="33"/>
  <c r="G5" i="33"/>
  <c r="J4" i="33"/>
  <c r="I4" i="33"/>
  <c r="G4" i="33"/>
  <c r="H19" i="32"/>
  <c r="J18" i="32"/>
  <c r="I18" i="32"/>
  <c r="G18" i="32"/>
  <c r="J17" i="32"/>
  <c r="I17" i="32"/>
  <c r="G17" i="32"/>
  <c r="J16" i="32"/>
  <c r="I16" i="32"/>
  <c r="G16" i="32"/>
  <c r="J15" i="32"/>
  <c r="I15" i="32"/>
  <c r="G15" i="32"/>
  <c r="J14" i="32"/>
  <c r="I14" i="32"/>
  <c r="G14" i="32"/>
  <c r="J13" i="32"/>
  <c r="I13" i="32"/>
  <c r="G13" i="32"/>
  <c r="J12" i="32"/>
  <c r="I12" i="32"/>
  <c r="G12" i="32"/>
  <c r="J11" i="32"/>
  <c r="I11" i="32"/>
  <c r="G11" i="32"/>
  <c r="J10" i="32"/>
  <c r="I10" i="32"/>
  <c r="G10" i="32"/>
  <c r="J9" i="32"/>
  <c r="I9" i="32"/>
  <c r="G9" i="32"/>
  <c r="J8" i="32"/>
  <c r="I8" i="32"/>
  <c r="G8" i="32"/>
  <c r="J7" i="32"/>
  <c r="I7" i="32"/>
  <c r="G7" i="32"/>
  <c r="J6" i="32"/>
  <c r="I6" i="32"/>
  <c r="G6" i="32"/>
  <c r="J5" i="32"/>
  <c r="I5" i="32"/>
  <c r="G5" i="32"/>
  <c r="J4" i="32"/>
  <c r="I4" i="32"/>
  <c r="G4" i="32"/>
  <c r="H19" i="31"/>
  <c r="J18" i="31"/>
  <c r="I18" i="31"/>
  <c r="G18" i="31"/>
  <c r="J17" i="31"/>
  <c r="I17" i="31"/>
  <c r="G17" i="31"/>
  <c r="J16" i="31"/>
  <c r="I16" i="31"/>
  <c r="G16" i="31"/>
  <c r="J15" i="31"/>
  <c r="I15" i="31"/>
  <c r="G15" i="31"/>
  <c r="J14" i="31"/>
  <c r="I14" i="31"/>
  <c r="G14" i="31"/>
  <c r="J13" i="31"/>
  <c r="I13" i="31"/>
  <c r="G13" i="31"/>
  <c r="J12" i="31"/>
  <c r="I12" i="31"/>
  <c r="G12" i="31"/>
  <c r="J11" i="31"/>
  <c r="I11" i="31"/>
  <c r="G11" i="31"/>
  <c r="J10" i="31"/>
  <c r="I10" i="31"/>
  <c r="G10" i="31"/>
  <c r="J9" i="31"/>
  <c r="I9" i="31"/>
  <c r="G9" i="31"/>
  <c r="J8" i="31"/>
  <c r="I8" i="31"/>
  <c r="G8" i="31"/>
  <c r="J7" i="31"/>
  <c r="I7" i="31"/>
  <c r="G7" i="31"/>
  <c r="J6" i="31"/>
  <c r="I6" i="31"/>
  <c r="G6" i="31"/>
  <c r="J5" i="31"/>
  <c r="I5" i="31"/>
  <c r="G5" i="31"/>
  <c r="J4" i="31"/>
  <c r="I4" i="31"/>
  <c r="G4" i="31"/>
  <c r="H19" i="30"/>
  <c r="J18" i="30"/>
  <c r="I18" i="30"/>
  <c r="G18" i="30"/>
  <c r="J17" i="30"/>
  <c r="I17" i="30"/>
  <c r="G17" i="30"/>
  <c r="J16" i="30"/>
  <c r="I16" i="30"/>
  <c r="G16" i="30"/>
  <c r="J15" i="30"/>
  <c r="I15" i="30"/>
  <c r="G15" i="30"/>
  <c r="J14" i="30"/>
  <c r="I14" i="30"/>
  <c r="G14" i="30"/>
  <c r="J13" i="30"/>
  <c r="I13" i="30"/>
  <c r="G13" i="30"/>
  <c r="J12" i="30"/>
  <c r="I12" i="30"/>
  <c r="G12" i="30"/>
  <c r="J11" i="30"/>
  <c r="I11" i="30"/>
  <c r="G11" i="30"/>
  <c r="J10" i="30"/>
  <c r="I10" i="30"/>
  <c r="G10" i="30"/>
  <c r="J9" i="30"/>
  <c r="I9" i="30"/>
  <c r="G9" i="30"/>
  <c r="J8" i="30"/>
  <c r="I8" i="30"/>
  <c r="G8" i="30"/>
  <c r="J7" i="30"/>
  <c r="I7" i="30"/>
  <c r="G7" i="30"/>
  <c r="J6" i="30"/>
  <c r="I6" i="30"/>
  <c r="G6" i="30"/>
  <c r="J5" i="30"/>
  <c r="I5" i="30"/>
  <c r="G5" i="30"/>
  <c r="J4" i="30"/>
  <c r="I4" i="30"/>
  <c r="G4" i="30"/>
  <c r="H19" i="29"/>
  <c r="J18" i="29"/>
  <c r="I18" i="29"/>
  <c r="G18" i="29"/>
  <c r="J17" i="29"/>
  <c r="I17" i="29"/>
  <c r="G17" i="29"/>
  <c r="J16" i="29"/>
  <c r="I16" i="29"/>
  <c r="G16" i="29"/>
  <c r="J15" i="29"/>
  <c r="I15" i="29"/>
  <c r="G15" i="29"/>
  <c r="J14" i="29"/>
  <c r="I14" i="29"/>
  <c r="G14" i="29"/>
  <c r="J13" i="29"/>
  <c r="I13" i="29"/>
  <c r="G13" i="29"/>
  <c r="J12" i="29"/>
  <c r="I12" i="29"/>
  <c r="G12" i="29"/>
  <c r="J11" i="29"/>
  <c r="I11" i="29"/>
  <c r="G11" i="29"/>
  <c r="J10" i="29"/>
  <c r="I10" i="29"/>
  <c r="G10" i="29"/>
  <c r="J9" i="29"/>
  <c r="I9" i="29"/>
  <c r="G9" i="29"/>
  <c r="J8" i="29"/>
  <c r="I8" i="29"/>
  <c r="G8" i="29"/>
  <c r="J7" i="29"/>
  <c r="I7" i="29"/>
  <c r="G7" i="29"/>
  <c r="J6" i="29"/>
  <c r="I6" i="29"/>
  <c r="G6" i="29"/>
  <c r="J5" i="29"/>
  <c r="I5" i="29"/>
  <c r="G5" i="29"/>
  <c r="J4" i="29"/>
  <c r="I4" i="29"/>
  <c r="G4" i="29"/>
  <c r="H19" i="28"/>
  <c r="J18" i="28"/>
  <c r="I18" i="28"/>
  <c r="G18" i="28"/>
  <c r="J17" i="28"/>
  <c r="I17" i="28"/>
  <c r="G17" i="28"/>
  <c r="J16" i="28"/>
  <c r="I16" i="28"/>
  <c r="G16" i="28"/>
  <c r="J15" i="28"/>
  <c r="I15" i="28"/>
  <c r="G15" i="28"/>
  <c r="J14" i="28"/>
  <c r="I14" i="28"/>
  <c r="G14" i="28"/>
  <c r="J13" i="28"/>
  <c r="I13" i="28"/>
  <c r="G13" i="28"/>
  <c r="J12" i="28"/>
  <c r="I12" i="28"/>
  <c r="G12" i="28"/>
  <c r="J11" i="28"/>
  <c r="I11" i="28"/>
  <c r="G11" i="28"/>
  <c r="J10" i="28"/>
  <c r="I10" i="28"/>
  <c r="G10" i="28"/>
  <c r="J9" i="28"/>
  <c r="I9" i="28"/>
  <c r="G9" i="28"/>
  <c r="J8" i="28"/>
  <c r="I8" i="28"/>
  <c r="G8" i="28"/>
  <c r="J7" i="28"/>
  <c r="I7" i="28"/>
  <c r="G7" i="28"/>
  <c r="J6" i="28"/>
  <c r="I6" i="28"/>
  <c r="G6" i="28"/>
  <c r="J5" i="28"/>
  <c r="I5" i="28"/>
  <c r="G5" i="28"/>
  <c r="J4" i="28"/>
  <c r="I4" i="28"/>
  <c r="G4" i="28"/>
  <c r="H19" i="27"/>
  <c r="J18" i="27"/>
  <c r="I18" i="27"/>
  <c r="G18" i="27"/>
  <c r="J17" i="27"/>
  <c r="I17" i="27"/>
  <c r="G17" i="27"/>
  <c r="J16" i="27"/>
  <c r="I16" i="27"/>
  <c r="G16" i="27"/>
  <c r="J15" i="27"/>
  <c r="I15" i="27"/>
  <c r="G15" i="27"/>
  <c r="J14" i="27"/>
  <c r="I14" i="27"/>
  <c r="G14" i="27"/>
  <c r="J13" i="27"/>
  <c r="I13" i="27"/>
  <c r="G13" i="27"/>
  <c r="J12" i="27"/>
  <c r="I12" i="27"/>
  <c r="G12" i="27"/>
  <c r="J11" i="27"/>
  <c r="I11" i="27"/>
  <c r="G11" i="27"/>
  <c r="J10" i="27"/>
  <c r="I10" i="27"/>
  <c r="G10" i="27"/>
  <c r="J9" i="27"/>
  <c r="I9" i="27"/>
  <c r="G9" i="27"/>
  <c r="J8" i="27"/>
  <c r="I8" i="27"/>
  <c r="G8" i="27"/>
  <c r="J7" i="27"/>
  <c r="I7" i="27"/>
  <c r="G7" i="27"/>
  <c r="J6" i="27"/>
  <c r="I6" i="27"/>
  <c r="G6" i="27"/>
  <c r="J5" i="27"/>
  <c r="I5" i="27"/>
  <c r="G5" i="27"/>
  <c r="J4" i="27"/>
  <c r="I4" i="27"/>
  <c r="G4" i="27"/>
  <c r="H19" i="26"/>
  <c r="J18" i="26"/>
  <c r="I18" i="26"/>
  <c r="G18" i="26"/>
  <c r="J17" i="26"/>
  <c r="I17" i="26"/>
  <c r="G17" i="26"/>
  <c r="J16" i="26"/>
  <c r="I16" i="26"/>
  <c r="G16" i="26"/>
  <c r="J15" i="26"/>
  <c r="I15" i="26"/>
  <c r="G15" i="26"/>
  <c r="J14" i="26"/>
  <c r="I14" i="26"/>
  <c r="G14" i="26"/>
  <c r="J13" i="26"/>
  <c r="I13" i="26"/>
  <c r="G13" i="26"/>
  <c r="J12" i="26"/>
  <c r="I12" i="26"/>
  <c r="G12" i="26"/>
  <c r="J11" i="26"/>
  <c r="I11" i="26"/>
  <c r="G11" i="26"/>
  <c r="J10" i="26"/>
  <c r="I10" i="26"/>
  <c r="G10" i="26"/>
  <c r="J9" i="26"/>
  <c r="I9" i="26"/>
  <c r="G9" i="26"/>
  <c r="J8" i="26"/>
  <c r="I8" i="26"/>
  <c r="G8" i="26"/>
  <c r="J7" i="26"/>
  <c r="I7" i="26"/>
  <c r="G7" i="26"/>
  <c r="J6" i="26"/>
  <c r="I6" i="26"/>
  <c r="G6" i="26"/>
  <c r="J5" i="26"/>
  <c r="I5" i="26"/>
  <c r="G5" i="26"/>
  <c r="J4" i="26"/>
  <c r="I4" i="26"/>
  <c r="G4" i="26"/>
  <c r="H19" i="25"/>
  <c r="J18" i="25"/>
  <c r="I18" i="25"/>
  <c r="G18" i="25"/>
  <c r="J17" i="25"/>
  <c r="I17" i="25"/>
  <c r="G17" i="25"/>
  <c r="J16" i="25"/>
  <c r="I16" i="25"/>
  <c r="G16" i="25"/>
  <c r="J15" i="25"/>
  <c r="I15" i="25"/>
  <c r="G15" i="25"/>
  <c r="J14" i="25"/>
  <c r="I14" i="25"/>
  <c r="G14" i="25"/>
  <c r="J13" i="25"/>
  <c r="I13" i="25"/>
  <c r="G13" i="25"/>
  <c r="J12" i="25"/>
  <c r="I12" i="25"/>
  <c r="G12" i="25"/>
  <c r="J11" i="25"/>
  <c r="I11" i="25"/>
  <c r="G11" i="25"/>
  <c r="J10" i="25"/>
  <c r="I10" i="25"/>
  <c r="G10" i="25"/>
  <c r="J9" i="25"/>
  <c r="I9" i="25"/>
  <c r="G9" i="25"/>
  <c r="J8" i="25"/>
  <c r="I8" i="25"/>
  <c r="G8" i="25"/>
  <c r="J7" i="25"/>
  <c r="I7" i="25"/>
  <c r="G7" i="25"/>
  <c r="J6" i="25"/>
  <c r="I6" i="25"/>
  <c r="G6" i="25"/>
  <c r="J5" i="25"/>
  <c r="I5" i="25"/>
  <c r="G5" i="25"/>
  <c r="J4" i="25"/>
  <c r="I4" i="25"/>
  <c r="G4" i="25"/>
  <c r="H19" i="24"/>
  <c r="J18" i="24"/>
  <c r="I18" i="24"/>
  <c r="G18" i="24"/>
  <c r="J17" i="24"/>
  <c r="I17" i="24"/>
  <c r="G17" i="24"/>
  <c r="J16" i="24"/>
  <c r="I16" i="24"/>
  <c r="G16" i="24"/>
  <c r="J15" i="24"/>
  <c r="I15" i="24"/>
  <c r="G15" i="24"/>
  <c r="J14" i="24"/>
  <c r="I14" i="24"/>
  <c r="G14" i="24"/>
  <c r="J13" i="24"/>
  <c r="I13" i="24"/>
  <c r="G13" i="24"/>
  <c r="J12" i="24"/>
  <c r="I12" i="24"/>
  <c r="G12" i="24"/>
  <c r="J11" i="24"/>
  <c r="I11" i="24"/>
  <c r="G11" i="24"/>
  <c r="J10" i="24"/>
  <c r="I10" i="24"/>
  <c r="G10" i="24"/>
  <c r="J9" i="24"/>
  <c r="I9" i="24"/>
  <c r="G9" i="24"/>
  <c r="J8" i="24"/>
  <c r="I8" i="24"/>
  <c r="G8" i="24"/>
  <c r="J7" i="24"/>
  <c r="I7" i="24"/>
  <c r="G7" i="24"/>
  <c r="J6" i="24"/>
  <c r="I6" i="24"/>
  <c r="G6" i="24"/>
  <c r="J5" i="24"/>
  <c r="I5" i="24"/>
  <c r="G5" i="24"/>
  <c r="J4" i="24"/>
  <c r="I4" i="24"/>
  <c r="G4" i="24"/>
  <c r="H19" i="23"/>
  <c r="J18" i="23"/>
  <c r="I18" i="23"/>
  <c r="G18" i="23"/>
  <c r="J17" i="23"/>
  <c r="I17" i="23"/>
  <c r="G17" i="23"/>
  <c r="J16" i="23"/>
  <c r="I16" i="23"/>
  <c r="G16" i="23"/>
  <c r="J15" i="23"/>
  <c r="I15" i="23"/>
  <c r="G15" i="23"/>
  <c r="J14" i="23"/>
  <c r="I14" i="23"/>
  <c r="G14" i="23"/>
  <c r="J13" i="23"/>
  <c r="I13" i="23"/>
  <c r="G13" i="23"/>
  <c r="J12" i="23"/>
  <c r="I12" i="23"/>
  <c r="G12" i="23"/>
  <c r="J11" i="23"/>
  <c r="I11" i="23"/>
  <c r="G11" i="23"/>
  <c r="J10" i="23"/>
  <c r="I10" i="23"/>
  <c r="G10" i="23"/>
  <c r="J9" i="23"/>
  <c r="I9" i="23"/>
  <c r="G9" i="23"/>
  <c r="J8" i="23"/>
  <c r="I8" i="23"/>
  <c r="G8" i="23"/>
  <c r="J7" i="23"/>
  <c r="I7" i="23"/>
  <c r="G7" i="23"/>
  <c r="J6" i="23"/>
  <c r="I6" i="23"/>
  <c r="G6" i="23"/>
  <c r="J5" i="23"/>
  <c r="I5" i="23"/>
  <c r="G5" i="23"/>
  <c r="J4" i="23"/>
  <c r="I4" i="23"/>
  <c r="G4" i="23"/>
  <c r="H19" i="22"/>
  <c r="J18" i="22"/>
  <c r="I18" i="22"/>
  <c r="G18" i="22"/>
  <c r="J17" i="22"/>
  <c r="I17" i="22"/>
  <c r="G17" i="22"/>
  <c r="J16" i="22"/>
  <c r="I16" i="22"/>
  <c r="G16" i="22"/>
  <c r="J15" i="22"/>
  <c r="I15" i="22"/>
  <c r="G15" i="22"/>
  <c r="J14" i="22"/>
  <c r="I14" i="22"/>
  <c r="G14" i="22"/>
  <c r="J13" i="22"/>
  <c r="I13" i="22"/>
  <c r="G13" i="22"/>
  <c r="J12" i="22"/>
  <c r="I12" i="22"/>
  <c r="G12" i="22"/>
  <c r="J11" i="22"/>
  <c r="I11" i="22"/>
  <c r="G11" i="22"/>
  <c r="J10" i="22"/>
  <c r="I10" i="22"/>
  <c r="G10" i="22"/>
  <c r="J9" i="22"/>
  <c r="I9" i="22"/>
  <c r="G9" i="22"/>
  <c r="J8" i="22"/>
  <c r="I8" i="22"/>
  <c r="G8" i="22"/>
  <c r="J7" i="22"/>
  <c r="I7" i="22"/>
  <c r="G7" i="22"/>
  <c r="J6" i="22"/>
  <c r="I6" i="22"/>
  <c r="G6" i="22"/>
  <c r="J5" i="22"/>
  <c r="I5" i="22"/>
  <c r="G5" i="22"/>
  <c r="J4" i="22"/>
  <c r="I4" i="22"/>
  <c r="G4" i="22"/>
  <c r="H19" i="21"/>
  <c r="J18" i="21"/>
  <c r="I18" i="21"/>
  <c r="G18" i="21"/>
  <c r="J17" i="21"/>
  <c r="I17" i="21"/>
  <c r="G17" i="21"/>
  <c r="J16" i="21"/>
  <c r="I16" i="21"/>
  <c r="G16" i="21"/>
  <c r="J15" i="21"/>
  <c r="I15" i="21"/>
  <c r="G15" i="21"/>
  <c r="J14" i="21"/>
  <c r="I14" i="21"/>
  <c r="G14" i="21"/>
  <c r="J13" i="21"/>
  <c r="I13" i="21"/>
  <c r="G13" i="21"/>
  <c r="J12" i="21"/>
  <c r="I12" i="21"/>
  <c r="G12" i="21"/>
  <c r="J11" i="21"/>
  <c r="I11" i="21"/>
  <c r="G11" i="21"/>
  <c r="J10" i="21"/>
  <c r="I10" i="21"/>
  <c r="G10" i="21"/>
  <c r="J9" i="21"/>
  <c r="I9" i="21"/>
  <c r="G9" i="21"/>
  <c r="J8" i="21"/>
  <c r="I8" i="21"/>
  <c r="G8" i="21"/>
  <c r="J7" i="21"/>
  <c r="I7" i="21"/>
  <c r="G7" i="21"/>
  <c r="J6" i="21"/>
  <c r="I6" i="21"/>
  <c r="G6" i="21"/>
  <c r="J5" i="21"/>
  <c r="I5" i="21"/>
  <c r="G5" i="21"/>
  <c r="J4" i="21"/>
  <c r="I4" i="21"/>
  <c r="G4" i="21"/>
  <c r="H19" i="20"/>
  <c r="J18" i="20"/>
  <c r="I18" i="20"/>
  <c r="G18" i="20"/>
  <c r="J17" i="20"/>
  <c r="I17" i="20"/>
  <c r="G17" i="20"/>
  <c r="J16" i="20"/>
  <c r="I16" i="20"/>
  <c r="G16" i="20"/>
  <c r="J15" i="20"/>
  <c r="I15" i="20"/>
  <c r="G15" i="20"/>
  <c r="J14" i="20"/>
  <c r="I14" i="20"/>
  <c r="G14" i="20"/>
  <c r="J13" i="20"/>
  <c r="I13" i="20"/>
  <c r="G13" i="20"/>
  <c r="J12" i="20"/>
  <c r="I12" i="20"/>
  <c r="G12" i="20"/>
  <c r="J11" i="20"/>
  <c r="I11" i="20"/>
  <c r="G11" i="20"/>
  <c r="J10" i="20"/>
  <c r="I10" i="20"/>
  <c r="G10" i="20"/>
  <c r="J9" i="20"/>
  <c r="I9" i="20"/>
  <c r="G9" i="20"/>
  <c r="J8" i="20"/>
  <c r="I8" i="20"/>
  <c r="G8" i="20"/>
  <c r="J7" i="20"/>
  <c r="I7" i="20"/>
  <c r="G7" i="20"/>
  <c r="J6" i="20"/>
  <c r="I6" i="20"/>
  <c r="G6" i="20"/>
  <c r="J5" i="20"/>
  <c r="I5" i="20"/>
  <c r="G5" i="20"/>
  <c r="J4" i="20"/>
  <c r="I4" i="20"/>
  <c r="G4" i="20"/>
  <c r="H19" i="19"/>
  <c r="J18" i="19"/>
  <c r="I18" i="19"/>
  <c r="G18" i="19"/>
  <c r="J17" i="19"/>
  <c r="I17" i="19"/>
  <c r="G17" i="19"/>
  <c r="J16" i="19"/>
  <c r="I16" i="19"/>
  <c r="G16" i="19"/>
  <c r="J15" i="19"/>
  <c r="I15" i="19"/>
  <c r="G15" i="19"/>
  <c r="J14" i="19"/>
  <c r="I14" i="19"/>
  <c r="G14" i="19"/>
  <c r="J13" i="19"/>
  <c r="I13" i="19"/>
  <c r="G13" i="19"/>
  <c r="J12" i="19"/>
  <c r="I12" i="19"/>
  <c r="G12" i="19"/>
  <c r="J11" i="19"/>
  <c r="I11" i="19"/>
  <c r="G11" i="19"/>
  <c r="J10" i="19"/>
  <c r="I10" i="19"/>
  <c r="G10" i="19"/>
  <c r="J9" i="19"/>
  <c r="I9" i="19"/>
  <c r="G9" i="19"/>
  <c r="J8" i="19"/>
  <c r="I8" i="19"/>
  <c r="G8" i="19"/>
  <c r="J7" i="19"/>
  <c r="I7" i="19"/>
  <c r="G7" i="19"/>
  <c r="J6" i="19"/>
  <c r="I6" i="19"/>
  <c r="G6" i="19"/>
  <c r="J5" i="19"/>
  <c r="I5" i="19"/>
  <c r="G5" i="19"/>
  <c r="J4" i="19"/>
  <c r="I4" i="19"/>
  <c r="G4" i="19"/>
  <c r="H19" i="18"/>
  <c r="J18" i="18"/>
  <c r="I18" i="18"/>
  <c r="G18" i="18"/>
  <c r="J17" i="18"/>
  <c r="I17" i="18"/>
  <c r="G17" i="18"/>
  <c r="J16" i="18"/>
  <c r="I16" i="18"/>
  <c r="G16" i="18"/>
  <c r="J15" i="18"/>
  <c r="I15" i="18"/>
  <c r="G15" i="18"/>
  <c r="J14" i="18"/>
  <c r="I14" i="18"/>
  <c r="G14" i="18"/>
  <c r="J13" i="18"/>
  <c r="I13" i="18"/>
  <c r="G13" i="18"/>
  <c r="J12" i="18"/>
  <c r="I12" i="18"/>
  <c r="G12" i="18"/>
  <c r="J11" i="18"/>
  <c r="I11" i="18"/>
  <c r="G11" i="18"/>
  <c r="J10" i="18"/>
  <c r="I10" i="18"/>
  <c r="G10" i="18"/>
  <c r="J9" i="18"/>
  <c r="I9" i="18"/>
  <c r="G9" i="18"/>
  <c r="J8" i="18"/>
  <c r="I8" i="18"/>
  <c r="G8" i="18"/>
  <c r="J7" i="18"/>
  <c r="I7" i="18"/>
  <c r="G7" i="18"/>
  <c r="J6" i="18"/>
  <c r="I6" i="18"/>
  <c r="G6" i="18"/>
  <c r="J5" i="18"/>
  <c r="I5" i="18"/>
  <c r="G5" i="18"/>
  <c r="J4" i="18"/>
  <c r="I4" i="18"/>
  <c r="G4" i="18"/>
  <c r="H19" i="17"/>
  <c r="J18" i="17"/>
  <c r="I18" i="17"/>
  <c r="G18" i="17"/>
  <c r="J17" i="17"/>
  <c r="I17" i="17"/>
  <c r="G17" i="17"/>
  <c r="J16" i="17"/>
  <c r="I16" i="17"/>
  <c r="G16" i="17"/>
  <c r="J15" i="17"/>
  <c r="I15" i="17"/>
  <c r="G15" i="17"/>
  <c r="J14" i="17"/>
  <c r="I14" i="17"/>
  <c r="G14" i="17"/>
  <c r="J13" i="17"/>
  <c r="I13" i="17"/>
  <c r="G13" i="17"/>
  <c r="J12" i="17"/>
  <c r="I12" i="17"/>
  <c r="G12" i="17"/>
  <c r="J11" i="17"/>
  <c r="I11" i="17"/>
  <c r="G11" i="17"/>
  <c r="J10" i="17"/>
  <c r="I10" i="17"/>
  <c r="G10" i="17"/>
  <c r="J9" i="17"/>
  <c r="I9" i="17"/>
  <c r="G9" i="17"/>
  <c r="J8" i="17"/>
  <c r="I8" i="17"/>
  <c r="G8" i="17"/>
  <c r="J7" i="17"/>
  <c r="I7" i="17"/>
  <c r="G7" i="17"/>
  <c r="J6" i="17"/>
  <c r="I6" i="17"/>
  <c r="G6" i="17"/>
  <c r="J5" i="17"/>
  <c r="I5" i="17"/>
  <c r="G5" i="17"/>
  <c r="J4" i="17"/>
  <c r="I4" i="17"/>
  <c r="G4" i="17"/>
  <c r="H19" i="16"/>
  <c r="J18" i="16"/>
  <c r="I18" i="16"/>
  <c r="G18" i="16"/>
  <c r="J17" i="16"/>
  <c r="I17" i="16"/>
  <c r="G17" i="16"/>
  <c r="J16" i="16"/>
  <c r="I16" i="16"/>
  <c r="G16" i="16"/>
  <c r="J15" i="16"/>
  <c r="I15" i="16"/>
  <c r="G15" i="16"/>
  <c r="J14" i="16"/>
  <c r="I14" i="16"/>
  <c r="G14" i="16"/>
  <c r="J13" i="16"/>
  <c r="I13" i="16"/>
  <c r="G13" i="16"/>
  <c r="J12" i="16"/>
  <c r="I12" i="16"/>
  <c r="G12" i="16"/>
  <c r="J11" i="16"/>
  <c r="I11" i="16"/>
  <c r="G11" i="16"/>
  <c r="J10" i="16"/>
  <c r="I10" i="16"/>
  <c r="G10" i="16"/>
  <c r="J9" i="16"/>
  <c r="I9" i="16"/>
  <c r="G9" i="16"/>
  <c r="J8" i="16"/>
  <c r="I8" i="16"/>
  <c r="G8" i="16"/>
  <c r="J7" i="16"/>
  <c r="I7" i="16"/>
  <c r="G7" i="16"/>
  <c r="J6" i="16"/>
  <c r="I6" i="16"/>
  <c r="G6" i="16"/>
  <c r="J5" i="16"/>
  <c r="I5" i="16"/>
  <c r="G5" i="16"/>
  <c r="J4" i="16"/>
  <c r="I4" i="16"/>
  <c r="G4" i="16"/>
  <c r="H19" i="15"/>
  <c r="J18" i="15"/>
  <c r="I18" i="15"/>
  <c r="G18" i="15"/>
  <c r="J17" i="15"/>
  <c r="I17" i="15"/>
  <c r="G17" i="15"/>
  <c r="J16" i="15"/>
  <c r="I16" i="15"/>
  <c r="G16" i="15"/>
  <c r="J15" i="15"/>
  <c r="I15" i="15"/>
  <c r="G15" i="15"/>
  <c r="J14" i="15"/>
  <c r="I14" i="15"/>
  <c r="G14" i="15"/>
  <c r="J13" i="15"/>
  <c r="I13" i="15"/>
  <c r="G13" i="15"/>
  <c r="J12" i="15"/>
  <c r="I12" i="15"/>
  <c r="G12" i="15"/>
  <c r="J11" i="15"/>
  <c r="I11" i="15"/>
  <c r="G11" i="15"/>
  <c r="J10" i="15"/>
  <c r="I10" i="15"/>
  <c r="G10" i="15"/>
  <c r="J9" i="15"/>
  <c r="I9" i="15"/>
  <c r="G9" i="15"/>
  <c r="J8" i="15"/>
  <c r="I8" i="15"/>
  <c r="G8" i="15"/>
  <c r="J7" i="15"/>
  <c r="I7" i="15"/>
  <c r="G7" i="15"/>
  <c r="J6" i="15"/>
  <c r="I6" i="15"/>
  <c r="G6" i="15"/>
  <c r="J5" i="15"/>
  <c r="I5" i="15"/>
  <c r="G5" i="15"/>
  <c r="J4" i="15"/>
  <c r="I4" i="15"/>
  <c r="G4" i="15"/>
  <c r="H19" i="14"/>
  <c r="J18" i="14"/>
  <c r="I18" i="14"/>
  <c r="G18" i="14"/>
  <c r="J17" i="14"/>
  <c r="I17" i="14"/>
  <c r="G17" i="14"/>
  <c r="J16" i="14"/>
  <c r="I16" i="14"/>
  <c r="G16" i="14"/>
  <c r="J15" i="14"/>
  <c r="I15" i="14"/>
  <c r="G15" i="14"/>
  <c r="J14" i="14"/>
  <c r="I14" i="14"/>
  <c r="G14" i="14"/>
  <c r="J13" i="14"/>
  <c r="I13" i="14"/>
  <c r="G13" i="14"/>
  <c r="J12" i="14"/>
  <c r="I12" i="14"/>
  <c r="G12" i="14"/>
  <c r="J11" i="14"/>
  <c r="I11" i="14"/>
  <c r="G11" i="14"/>
  <c r="J10" i="14"/>
  <c r="I10" i="14"/>
  <c r="G10" i="14"/>
  <c r="J9" i="14"/>
  <c r="I9" i="14"/>
  <c r="G9" i="14"/>
  <c r="J8" i="14"/>
  <c r="I8" i="14"/>
  <c r="G8" i="14"/>
  <c r="J7" i="14"/>
  <c r="I7" i="14"/>
  <c r="G7" i="14"/>
  <c r="J6" i="14"/>
  <c r="I6" i="14"/>
  <c r="G6" i="14"/>
  <c r="J5" i="14"/>
  <c r="I5" i="14"/>
  <c r="G5" i="14"/>
  <c r="J4" i="14"/>
  <c r="I4" i="14"/>
  <c r="G4" i="14"/>
  <c r="H19" i="13"/>
  <c r="J18" i="13"/>
  <c r="I18" i="13"/>
  <c r="G18" i="13"/>
  <c r="J17" i="13"/>
  <c r="I17" i="13"/>
  <c r="G17" i="13"/>
  <c r="J16" i="13"/>
  <c r="I16" i="13"/>
  <c r="G16" i="13"/>
  <c r="J15" i="13"/>
  <c r="I15" i="13"/>
  <c r="G15" i="13"/>
  <c r="J14" i="13"/>
  <c r="I14" i="13"/>
  <c r="G14" i="13"/>
  <c r="J13" i="13"/>
  <c r="I13" i="13"/>
  <c r="G13" i="13"/>
  <c r="J12" i="13"/>
  <c r="I12" i="13"/>
  <c r="G12" i="13"/>
  <c r="J11" i="13"/>
  <c r="I11" i="13"/>
  <c r="G11" i="13"/>
  <c r="J10" i="13"/>
  <c r="I10" i="13"/>
  <c r="G10" i="13"/>
  <c r="J9" i="13"/>
  <c r="I9" i="13"/>
  <c r="G9" i="13"/>
  <c r="J8" i="13"/>
  <c r="I8" i="13"/>
  <c r="G8" i="13"/>
  <c r="J7" i="13"/>
  <c r="I7" i="13"/>
  <c r="G7" i="13"/>
  <c r="J6" i="13"/>
  <c r="I6" i="13"/>
  <c r="G6" i="13"/>
  <c r="J5" i="13"/>
  <c r="I5" i="13"/>
  <c r="G5" i="13"/>
  <c r="J4" i="13"/>
  <c r="I4" i="13"/>
  <c r="G4" i="13"/>
  <c r="H19" i="12"/>
  <c r="J18" i="12"/>
  <c r="I18" i="12"/>
  <c r="G18" i="12"/>
  <c r="J17" i="12"/>
  <c r="I17" i="12"/>
  <c r="G17" i="12"/>
  <c r="J16" i="12"/>
  <c r="I16" i="12"/>
  <c r="G16" i="12"/>
  <c r="J15" i="12"/>
  <c r="I15" i="12"/>
  <c r="G15" i="12"/>
  <c r="J14" i="12"/>
  <c r="I14" i="12"/>
  <c r="G14" i="12"/>
  <c r="J13" i="12"/>
  <c r="I13" i="12"/>
  <c r="G13" i="12"/>
  <c r="J12" i="12"/>
  <c r="I12" i="12"/>
  <c r="G12" i="12"/>
  <c r="J11" i="12"/>
  <c r="I11" i="12"/>
  <c r="G11" i="12"/>
  <c r="J10" i="12"/>
  <c r="I10" i="12"/>
  <c r="G10" i="12"/>
  <c r="J9" i="12"/>
  <c r="I9" i="12"/>
  <c r="G9" i="12"/>
  <c r="J8" i="12"/>
  <c r="I8" i="12"/>
  <c r="G8" i="12"/>
  <c r="J7" i="12"/>
  <c r="I7" i="12"/>
  <c r="G7" i="12"/>
  <c r="J6" i="12"/>
  <c r="I6" i="12"/>
  <c r="G6" i="12"/>
  <c r="J5" i="12"/>
  <c r="I5" i="12"/>
  <c r="G5" i="12"/>
  <c r="J4" i="12"/>
  <c r="I4" i="12"/>
  <c r="G4" i="12"/>
  <c r="H19" i="11"/>
  <c r="J18" i="11"/>
  <c r="I18" i="11"/>
  <c r="G18" i="11"/>
  <c r="J17" i="11"/>
  <c r="I17" i="11"/>
  <c r="G17" i="11"/>
  <c r="J16" i="11"/>
  <c r="I16" i="11"/>
  <c r="G16" i="11"/>
  <c r="J15" i="11"/>
  <c r="I15" i="11"/>
  <c r="G15" i="11"/>
  <c r="J14" i="11"/>
  <c r="I14" i="11"/>
  <c r="G14" i="11"/>
  <c r="J13" i="11"/>
  <c r="I13" i="11"/>
  <c r="G13" i="11"/>
  <c r="J12" i="11"/>
  <c r="I12" i="11"/>
  <c r="G12" i="11"/>
  <c r="J11" i="11"/>
  <c r="I11" i="11"/>
  <c r="G11" i="11"/>
  <c r="J10" i="11"/>
  <c r="I10" i="11"/>
  <c r="G10" i="11"/>
  <c r="J9" i="11"/>
  <c r="I9" i="11"/>
  <c r="G9" i="11"/>
  <c r="J8" i="11"/>
  <c r="I8" i="11"/>
  <c r="G8" i="11"/>
  <c r="J7" i="11"/>
  <c r="I7" i="11"/>
  <c r="G7" i="11"/>
  <c r="J6" i="11"/>
  <c r="I6" i="11"/>
  <c r="G6" i="11"/>
  <c r="J5" i="11"/>
  <c r="I5" i="11"/>
  <c r="G5" i="11"/>
  <c r="J4" i="11"/>
  <c r="I4" i="11"/>
  <c r="G4" i="11"/>
  <c r="H19" i="10"/>
  <c r="J18" i="10"/>
  <c r="I18" i="10"/>
  <c r="G18" i="10"/>
  <c r="J17" i="10"/>
  <c r="I17" i="10"/>
  <c r="G17" i="10"/>
  <c r="J16" i="10"/>
  <c r="I16" i="10"/>
  <c r="G16" i="10"/>
  <c r="J15" i="10"/>
  <c r="I15" i="10"/>
  <c r="G15" i="10"/>
  <c r="J14" i="10"/>
  <c r="I14" i="10"/>
  <c r="G14" i="10"/>
  <c r="J13" i="10"/>
  <c r="I13" i="10"/>
  <c r="G13" i="10"/>
  <c r="J12" i="10"/>
  <c r="I12" i="10"/>
  <c r="G12" i="10"/>
  <c r="J11" i="10"/>
  <c r="I11" i="10"/>
  <c r="G11" i="10"/>
  <c r="J10" i="10"/>
  <c r="I10" i="10"/>
  <c r="G10" i="10"/>
  <c r="J9" i="10"/>
  <c r="I9" i="10"/>
  <c r="G9" i="10"/>
  <c r="J8" i="10"/>
  <c r="I8" i="10"/>
  <c r="G8" i="10"/>
  <c r="J7" i="10"/>
  <c r="I7" i="10"/>
  <c r="G7" i="10"/>
  <c r="J6" i="10"/>
  <c r="I6" i="10"/>
  <c r="G6" i="10"/>
  <c r="J5" i="10"/>
  <c r="I5" i="10"/>
  <c r="G5" i="10"/>
  <c r="J4" i="10"/>
  <c r="I4" i="10"/>
  <c r="G4" i="10"/>
  <c r="H19" i="9"/>
  <c r="J18" i="9"/>
  <c r="I18" i="9"/>
  <c r="G18" i="9"/>
  <c r="J17" i="9"/>
  <c r="I17" i="9"/>
  <c r="G17" i="9"/>
  <c r="J16" i="9"/>
  <c r="I16" i="9"/>
  <c r="G16" i="9"/>
  <c r="J15" i="9"/>
  <c r="I15" i="9"/>
  <c r="G15" i="9"/>
  <c r="J14" i="9"/>
  <c r="I14" i="9"/>
  <c r="G14" i="9"/>
  <c r="J13" i="9"/>
  <c r="I13" i="9"/>
  <c r="G13" i="9"/>
  <c r="J12" i="9"/>
  <c r="I12" i="9"/>
  <c r="G12" i="9"/>
  <c r="J11" i="9"/>
  <c r="I11" i="9"/>
  <c r="G11" i="9"/>
  <c r="J10" i="9"/>
  <c r="I10" i="9"/>
  <c r="G10" i="9"/>
  <c r="J9" i="9"/>
  <c r="I9" i="9"/>
  <c r="G9" i="9"/>
  <c r="J8" i="9"/>
  <c r="I8" i="9"/>
  <c r="G8" i="9"/>
  <c r="J7" i="9"/>
  <c r="I7" i="9"/>
  <c r="G7" i="9"/>
  <c r="J6" i="9"/>
  <c r="I6" i="9"/>
  <c r="G6" i="9"/>
  <c r="J5" i="9"/>
  <c r="I5" i="9"/>
  <c r="G5" i="9"/>
  <c r="J4" i="9"/>
  <c r="I4" i="9"/>
  <c r="G4" i="9"/>
  <c r="H19" i="8"/>
  <c r="J18" i="8"/>
  <c r="I18" i="8"/>
  <c r="G18" i="8"/>
  <c r="J17" i="8"/>
  <c r="I17" i="8"/>
  <c r="G17" i="8"/>
  <c r="J16" i="8"/>
  <c r="I16" i="8"/>
  <c r="G16" i="8"/>
  <c r="J15" i="8"/>
  <c r="I15" i="8"/>
  <c r="G15" i="8"/>
  <c r="J14" i="8"/>
  <c r="I14" i="8"/>
  <c r="G14" i="8"/>
  <c r="J13" i="8"/>
  <c r="I13" i="8"/>
  <c r="G13" i="8"/>
  <c r="J12" i="8"/>
  <c r="I12" i="8"/>
  <c r="G12" i="8"/>
  <c r="J11" i="8"/>
  <c r="I11" i="8"/>
  <c r="G11" i="8"/>
  <c r="J10" i="8"/>
  <c r="I10" i="8"/>
  <c r="G10" i="8"/>
  <c r="J9" i="8"/>
  <c r="I9" i="8"/>
  <c r="G9" i="8"/>
  <c r="J8" i="8"/>
  <c r="I8" i="8"/>
  <c r="G8" i="8"/>
  <c r="J7" i="8"/>
  <c r="I7" i="8"/>
  <c r="G7" i="8"/>
  <c r="J6" i="8"/>
  <c r="I6" i="8"/>
  <c r="G6" i="8"/>
  <c r="J5" i="8"/>
  <c r="I5" i="8"/>
  <c r="G5" i="8"/>
  <c r="J4" i="8"/>
  <c r="I4" i="8"/>
  <c r="G4" i="8"/>
  <c r="H19" i="7"/>
  <c r="J18" i="7"/>
  <c r="I18" i="7"/>
  <c r="G18" i="7"/>
  <c r="J17" i="7"/>
  <c r="I17" i="7"/>
  <c r="G17" i="7"/>
  <c r="J16" i="7"/>
  <c r="I16" i="7"/>
  <c r="G16" i="7"/>
  <c r="J15" i="7"/>
  <c r="I15" i="7"/>
  <c r="G15" i="7"/>
  <c r="J14" i="7"/>
  <c r="G14" i="7"/>
  <c r="I14" i="7" s="1"/>
  <c r="J13" i="7"/>
  <c r="G13" i="7"/>
  <c r="I13" i="7" s="1"/>
  <c r="J12" i="7"/>
  <c r="G12" i="7"/>
  <c r="I12" i="7" s="1"/>
  <c r="J11" i="7"/>
  <c r="G11" i="7"/>
  <c r="I11" i="7" s="1"/>
  <c r="J10" i="7"/>
  <c r="G10" i="7"/>
  <c r="I10" i="7" s="1"/>
  <c r="J9" i="7"/>
  <c r="G9" i="7"/>
  <c r="I9" i="7" s="1"/>
  <c r="J8" i="7"/>
  <c r="G8" i="7"/>
  <c r="I8" i="7" s="1"/>
  <c r="J7" i="7"/>
  <c r="G7" i="7"/>
  <c r="I7" i="7" s="1"/>
  <c r="J6" i="7"/>
  <c r="G6" i="7"/>
  <c r="I6" i="7" s="1"/>
  <c r="J5" i="7"/>
  <c r="G5" i="7"/>
  <c r="I5" i="7" s="1"/>
  <c r="J4" i="7"/>
  <c r="G4" i="7"/>
  <c r="I4" i="7" s="1"/>
  <c r="H19" i="6"/>
  <c r="J18" i="6"/>
  <c r="I18" i="6"/>
  <c r="G18" i="6"/>
  <c r="J17" i="6"/>
  <c r="I17" i="6"/>
  <c r="G17" i="6"/>
  <c r="J16" i="6"/>
  <c r="I16" i="6"/>
  <c r="G16" i="6"/>
  <c r="J15" i="6"/>
  <c r="I15" i="6"/>
  <c r="G15" i="6"/>
  <c r="J14" i="6"/>
  <c r="I14" i="6"/>
  <c r="G14" i="6"/>
  <c r="J13" i="6"/>
  <c r="I13" i="6"/>
  <c r="G13" i="6"/>
  <c r="J12" i="6"/>
  <c r="G12" i="6"/>
  <c r="I12" i="6" s="1"/>
  <c r="J11" i="6"/>
  <c r="I11" i="6"/>
  <c r="G11" i="6"/>
  <c r="J10" i="6"/>
  <c r="I10" i="6"/>
  <c r="G10" i="6"/>
  <c r="J9" i="6"/>
  <c r="I9" i="6"/>
  <c r="G9" i="6"/>
  <c r="J8" i="6"/>
  <c r="I8" i="6"/>
  <c r="G8" i="6"/>
  <c r="J7" i="6"/>
  <c r="I7" i="6"/>
  <c r="G7" i="6"/>
  <c r="J6" i="6"/>
  <c r="I6" i="6"/>
  <c r="G6" i="6"/>
  <c r="J5" i="6"/>
  <c r="I5" i="6"/>
  <c r="G5" i="6"/>
  <c r="J4" i="6"/>
  <c r="I4" i="6"/>
  <c r="G4" i="6"/>
  <c r="G42" i="5"/>
  <c r="D42" i="5"/>
  <c r="H40" i="5"/>
  <c r="G40" i="5"/>
  <c r="F40" i="5"/>
  <c r="E40" i="5"/>
  <c r="D40" i="5"/>
  <c r="C40" i="5"/>
  <c r="B40" i="5"/>
  <c r="H39" i="5"/>
  <c r="G39" i="5"/>
  <c r="F39" i="5"/>
  <c r="E39" i="5"/>
  <c r="D39" i="5"/>
  <c r="C39" i="5"/>
  <c r="B39" i="5"/>
  <c r="H38" i="5"/>
  <c r="G38" i="5"/>
  <c r="F38" i="5"/>
  <c r="E38" i="5"/>
  <c r="D38" i="5"/>
  <c r="C38" i="5"/>
  <c r="B38" i="5"/>
  <c r="H37" i="5"/>
  <c r="G37" i="5"/>
  <c r="F37" i="5"/>
  <c r="E37" i="5"/>
  <c r="D37" i="5"/>
  <c r="C37" i="5"/>
  <c r="B37" i="5"/>
  <c r="H36" i="5"/>
  <c r="G36" i="5"/>
  <c r="F36" i="5"/>
  <c r="E36" i="5"/>
  <c r="D36" i="5"/>
  <c r="C36" i="5"/>
  <c r="B36" i="5"/>
  <c r="H35" i="5"/>
  <c r="G35" i="5"/>
  <c r="F35" i="5"/>
  <c r="E35" i="5"/>
  <c r="D35" i="5"/>
  <c r="C35" i="5"/>
  <c r="B35" i="5"/>
  <c r="H34" i="5"/>
  <c r="G34" i="5"/>
  <c r="F34" i="5"/>
  <c r="E34" i="5"/>
  <c r="D34" i="5"/>
  <c r="C34" i="5"/>
  <c r="B34" i="5"/>
  <c r="H33" i="5"/>
  <c r="G33" i="5"/>
  <c r="F33" i="5"/>
  <c r="E33" i="5"/>
  <c r="D33" i="5"/>
  <c r="C33" i="5"/>
  <c r="B33" i="5"/>
  <c r="H32" i="5"/>
  <c r="G32" i="5"/>
  <c r="F32" i="5"/>
  <c r="E32" i="5"/>
  <c r="D32" i="5"/>
  <c r="C32" i="5"/>
  <c r="B32" i="5"/>
  <c r="H31" i="5"/>
  <c r="G31" i="5"/>
  <c r="F31" i="5"/>
  <c r="E31" i="5"/>
  <c r="D31" i="5"/>
  <c r="C31" i="5"/>
  <c r="B31" i="5"/>
  <c r="H30" i="5"/>
  <c r="G30" i="5"/>
  <c r="F30" i="5"/>
  <c r="E30" i="5"/>
  <c r="D30" i="5"/>
  <c r="C30" i="5"/>
  <c r="B30" i="5"/>
  <c r="H29" i="5"/>
  <c r="G29" i="5"/>
  <c r="F29" i="5"/>
  <c r="E29" i="5"/>
  <c r="D29" i="5"/>
  <c r="C29" i="5"/>
  <c r="B29" i="5"/>
  <c r="H28" i="5"/>
  <c r="G28" i="5"/>
  <c r="F28" i="5"/>
  <c r="E28" i="5"/>
  <c r="D28" i="5"/>
  <c r="C28" i="5"/>
  <c r="B28" i="5"/>
  <c r="H27" i="5"/>
  <c r="G27" i="5"/>
  <c r="F27" i="5"/>
  <c r="E27" i="5"/>
  <c r="D27" i="5"/>
  <c r="C27" i="5"/>
  <c r="B27" i="5"/>
  <c r="H26" i="5"/>
  <c r="G26" i="5"/>
  <c r="F26" i="5"/>
  <c r="E26" i="5"/>
  <c r="D26" i="5"/>
  <c r="C26" i="5"/>
  <c r="B26" i="5"/>
  <c r="E22" i="5"/>
  <c r="C22" i="5"/>
  <c r="C21" i="5"/>
  <c r="E20" i="5"/>
  <c r="C20" i="5"/>
  <c r="C19" i="5"/>
  <c r="E18" i="5"/>
  <c r="C18" i="5"/>
  <c r="C17" i="5"/>
  <c r="E13" i="5"/>
  <c r="F13" i="5" s="1"/>
  <c r="C13" i="5"/>
  <c r="E12" i="5"/>
  <c r="F12" i="5" s="1"/>
  <c r="C12" i="5"/>
  <c r="E11" i="5"/>
  <c r="F11" i="5" s="1"/>
  <c r="C11" i="5"/>
  <c r="B7" i="5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I19" i="10" l="1"/>
  <c r="I19" i="26"/>
  <c r="I19" i="34"/>
  <c r="I19" i="27"/>
  <c r="I19" i="6"/>
  <c r="I19" i="8"/>
  <c r="I19" i="16"/>
  <c r="I19" i="24"/>
  <c r="I19" i="32"/>
  <c r="I19" i="11"/>
  <c r="I19" i="19"/>
  <c r="I19" i="15"/>
  <c r="I19" i="18"/>
  <c r="I19" i="23"/>
  <c r="I19" i="22"/>
  <c r="I19" i="9"/>
  <c r="I19" i="13"/>
  <c r="I19" i="17"/>
  <c r="I19" i="21"/>
  <c r="I19" i="25"/>
  <c r="I19" i="29"/>
  <c r="I19" i="31"/>
  <c r="I19" i="33"/>
  <c r="I19" i="14"/>
  <c r="I19" i="30"/>
  <c r="I19" i="12"/>
  <c r="I19" i="20"/>
  <c r="I19" i="28"/>
  <c r="I19" i="7"/>
</calcChain>
</file>

<file path=xl/sharedStrings.xml><?xml version="1.0" encoding="utf-8"?>
<sst xmlns="http://schemas.openxmlformats.org/spreadsheetml/2006/main" count="1520" uniqueCount="540">
  <si>
    <t>📊  PORTAFOLIO OTIC — SISTEMA DE DASHBOARD</t>
  </si>
  <si>
    <t>Guía de uso del sistema</t>
  </si>
  <si>
    <t>FLUJO DE TRABAJO</t>
  </si>
  <si>
    <t>Paso 1 — Actualizar Data Original</t>
  </si>
  <si>
    <t>Vaya a la hoja "Data Original" y actualice fechas, estados y equipos de los proyectos.</t>
  </si>
  <si>
    <t>Paso 2 — Cargar tareas por proyecto</t>
  </si>
  <si>
    <t>Vaya a la hoja del proyecto (P1, P2... P29) y llene las tareas comprometidas con fecha inicio, fin y % avance.</t>
  </si>
  <si>
    <t>Paso 3 — Exportar JSON</t>
  </si>
  <si>
    <t>Vaya a la hoja "🚀 Exportar" y presione el botón EXPORTAR DASHBOARD. Se generará el archivo datos_otic.json.</t>
  </si>
  <si>
    <t>Paso 4 — Abrir Dashboard</t>
  </si>
  <si>
    <t>Abra el archivo dashboard_otic.html en Chrome o Edge. Cargue el archivo datos_otic.json cuando se solicite.</t>
  </si>
  <si>
    <t>SEMÁFOROS DE FECHAS</t>
  </si>
  <si>
    <t>🔴 Crítico</t>
  </si>
  <si>
    <t>Menos de 5 días para la fecha clave</t>
  </si>
  <si>
    <t>🟡 Alerta</t>
  </si>
  <si>
    <t>Entre 5 y 20 días para la fecha clave</t>
  </si>
  <si>
    <t>🟢 En Tiempo</t>
  </si>
  <si>
    <t>Más de 20 días para la fecha clave</t>
  </si>
  <si>
    <t>✅ Completada</t>
  </si>
  <si>
    <t>Tarea con 100% de avance</t>
  </si>
  <si>
    <t>CAMPOS AMARILLOS</t>
  </si>
  <si>
    <t>Son los campos que usted debe llenar / actualizar</t>
  </si>
  <si>
    <t>CAMPOS GRISES</t>
  </si>
  <si>
    <t>Se calculan automáticamente — NO modificar</t>
  </si>
  <si>
    <t>No.</t>
  </si>
  <si>
    <t>ESTADO</t>
  </si>
  <si>
    <t>PROYECTO</t>
  </si>
  <si>
    <t>COMPROBACION LINEA PAA (27/01/2026)</t>
  </si>
  <si>
    <t>MODALIDAD</t>
  </si>
  <si>
    <t>OBJETO</t>
  </si>
  <si>
    <t>PLAZO (MESES)</t>
  </si>
  <si>
    <t>MULTIPROCESO</t>
  </si>
  <si>
    <t>VALOR INICIAL PROGRAMADO</t>
  </si>
  <si>
    <t>INCREMENTOS</t>
  </si>
  <si>
    <t>DISMINUCIONES</t>
  </si>
  <si>
    <t>APROPIACION VIGENTE ACTUAL BOGDATA</t>
  </si>
  <si>
    <t>APROPIACIÓN VIGENTE ACTUAL BOGDATA (PAA 27/01/2026)</t>
  </si>
  <si>
    <t>% INCIDENCIA</t>
  </si>
  <si>
    <t>FECHA ENTREGA ABOGADO OTIC</t>
  </si>
  <si>
    <t>DIAS RESTANTES ENTREGA ABOGADO OTIC</t>
  </si>
  <si>
    <t>FECHA SOLICITUD MESA DE TRABAJO (27/01/2026)</t>
  </si>
  <si>
    <t xml:space="preserve">FECHA MESA DE TRABAJO  </t>
  </si>
  <si>
    <t>DIAS RESTANTES SOLICITUD MESA DE TRABAJO</t>
  </si>
  <si>
    <t>FECHA RADICACION CONTRATACION (27/01/2026)</t>
  </si>
  <si>
    <t>FECHA RADICACION CONTRATACION</t>
  </si>
  <si>
    <t>DIAS RESTANTES RADICACION CONTRATACION</t>
  </si>
  <si>
    <t>FECHA APROX ADJUDICACION  (27/01/2026)</t>
  </si>
  <si>
    <t>FECHA APROX ADJUDICACION</t>
  </si>
  <si>
    <t>ESTRUCTURADOR OTIC</t>
  </si>
  <si>
    <t>ABOGADO OTIC</t>
  </si>
  <si>
    <t>EVALUADORES OTIC</t>
  </si>
  <si>
    <t>SUPERVISOR OTIC</t>
  </si>
  <si>
    <t>APOYO SUPERVISION OTIC</t>
  </si>
  <si>
    <t>P1</t>
  </si>
  <si>
    <t>En Progreso</t>
  </si>
  <si>
    <t>SGC-357</t>
  </si>
  <si>
    <t>ACTUALIZACION DEL SOFTWARE PARA LA ADMINISTRACION DE LA INFORMACION DEL MODELO INTEGRADO DE PLANEACION Y GESTION MIPG PARA LA SECRETARIA DISTRITAL DE MOVILIDAD</t>
  </si>
  <si>
    <t>25. DARUMA - ORDENADOR DEL GASTO CORPORATIVA</t>
  </si>
  <si>
    <t>P2</t>
  </si>
  <si>
    <t>EQUIPOS ACTIVOS DE RED ETAPA 3</t>
  </si>
  <si>
    <t>SGC-359</t>
  </si>
  <si>
    <t>7-SELECCIÓN ABREVIADA - SUBASTA INVERSA</t>
  </si>
  <si>
    <t>ETAPA 3 ADQUISICION DE EQUIPOS ACTIVOS DE RED PARA LA SECRETARIA DISTRITAL DE MOVILIDAD</t>
  </si>
  <si>
    <t>07. EQUIPOS ACTIVOS DE RED ETAPA 3 - ORDENADOR DEL GASTO: CORPORATIVA</t>
  </si>
  <si>
    <t>Javier Pineda
Oscar Bolaños</t>
  </si>
  <si>
    <t xml:space="preserve">Gabriela Delgado </t>
  </si>
  <si>
    <t>Marisol Caro
Oscar Correa
Yecid Rodriguez</t>
  </si>
  <si>
    <t>Javier Pineda</t>
  </si>
  <si>
    <t>Oscar Bolaños</t>
  </si>
  <si>
    <t>P3</t>
  </si>
  <si>
    <t>GOOGLE WORKSPACE</t>
  </si>
  <si>
    <t>SGC-361</t>
  </si>
  <si>
    <t>14.2-SELECCIÓN ABREVIADA - COMPRA CATALOGO ACUERDO MARCO PRECIOS</t>
  </si>
  <si>
    <t>LICENCIAMIENTO DE LOS SERVICIOS DE GOOGLE WORKSPACE Y EL SOPORTE TECNICO PARA LA SECRETARIA DISTRITAL DE MOVILIDAD</t>
  </si>
  <si>
    <t>09. SOFTWARE-LICENCIAMIENTO GOOGLE WORKSPACE - ORDENADOR DEL GASTO CORPORATIVA</t>
  </si>
  <si>
    <t xml:space="preserve">Jonathan Pernet </t>
  </si>
  <si>
    <t>N.A.</t>
  </si>
  <si>
    <t>Jonathan Pernet</t>
  </si>
  <si>
    <t>P4</t>
  </si>
  <si>
    <t>NUBE</t>
  </si>
  <si>
    <t>SGC-362</t>
  </si>
  <si>
    <t>PRESTAR SERVICIO DE NUBE PARA LA SECRETARIA DISTRITAL DE MOVILIDAD</t>
  </si>
  <si>
    <t>51. NUBE - ORDENADOR DEL GASTO: CORPORATIVA</t>
  </si>
  <si>
    <t>Adriana Villamizar</t>
  </si>
  <si>
    <t>P5</t>
  </si>
  <si>
    <t>IMPRESIÓN ETIQUETAS</t>
  </si>
  <si>
    <t>SGC-365</t>
  </si>
  <si>
    <t>13.2-PROCESO MINIMA CUANTIA - ADQUISICION GRANDES SUPERFICIES</t>
  </si>
  <si>
    <t>REALIZAR LA RENOVACION DEL SOPORTE DE LA LICENCIA DEL SOFTWARE DE IMPRESION DE ETIQUETAS PARA LA SECRETARIA DISTRITAL DE MOVILIDAD</t>
  </si>
  <si>
    <t>PROCESO ÚNICO: RENOVACIÓN IMPRESIÓN ETIQUETAS</t>
  </si>
  <si>
    <t>Miguel Barrera</t>
  </si>
  <si>
    <t>P6</t>
  </si>
  <si>
    <t>SGC-366</t>
  </si>
  <si>
    <t>200-LICITACIÓN PÚBLICA</t>
  </si>
  <si>
    <t>PRESTAR LOS SERVICIOS PARA INCORPORAR DESARROLLAR E IMPLEMENTAR LA ARQUITECTURA EMPRESARIAL SIGUIENDO EL MODELO DE REFERENCIA DEL MINISTERIO DE TECNOLOGIAS DE LA INFORMACION Y LAS COMUNICACIONES Y APLICAR LA ESTRATEGIA DE GOBIERNO Y OPERACION EN LA SECRETARIA DISTRITAL DE MOVILIDAD</t>
  </si>
  <si>
    <t>PROCESO ÚNICO - ARQUITECTURA EMPRESARIAL</t>
  </si>
  <si>
    <t>Adriana Villamizar
Jorge Neira</t>
  </si>
  <si>
    <t>Ernesto Guevara
Jose Rene Gonzales
Jorge Luis Vargas
Yecid Rodriguez</t>
  </si>
  <si>
    <t>Jorge Neira</t>
  </si>
  <si>
    <t>P7</t>
  </si>
  <si>
    <t>LICENCIAS MICROSOFT</t>
  </si>
  <si>
    <t>SGC-367</t>
  </si>
  <si>
    <t>ADQUISICION Y RENOVACION DE LICENCIAS DE PRODUCTOS MICROSOFT PARA LA SECRETARIA DISTRITAL DE MOVILIDAD</t>
  </si>
  <si>
    <t>PROCESO ÚNICO: LICENCIAS MICROSOFT</t>
  </si>
  <si>
    <t>P8</t>
  </si>
  <si>
    <t>ANTIVIRUS Y XDR</t>
  </si>
  <si>
    <t>SGC-368</t>
  </si>
  <si>
    <t>RENOVACIÓN DE LA SUSCRIPCION DEL LICENCIAMIENTO DE HERRAMIENTA ANTIVIRUS Y XDR PARA LA SECRETARIA DISTRITAL DE MOVILIDAD</t>
  </si>
  <si>
    <t>PROCESO ÚNICO: ANTIVIRUS</t>
  </si>
  <si>
    <t>Jasvleydi Fajado 
Elsa Baracaldo</t>
  </si>
  <si>
    <t>Jhon Fuentes
Yecid Rodriguez</t>
  </si>
  <si>
    <t xml:space="preserve">Jasvleydi Fajardo </t>
  </si>
  <si>
    <t xml:space="preserve">Liliana Garzon </t>
  </si>
  <si>
    <t>P9</t>
  </si>
  <si>
    <t>TRANSCAD TRANSMODELER</t>
  </si>
  <si>
    <t>SGC-370</t>
  </si>
  <si>
    <t>12.7-CONTRATACIÓN DIRECTA-NO EXISTENCIA PLURALIDAD DE OFERENTES</t>
  </si>
  <si>
    <t>PROCESO ÚNICO: TRANSCAD</t>
  </si>
  <si>
    <t>Carlos Gonzales</t>
  </si>
  <si>
    <t xml:space="preserve">Oscar Vargas </t>
  </si>
  <si>
    <t>P10</t>
  </si>
  <si>
    <t>EMME DYBAMEQ</t>
  </si>
  <si>
    <t>SGC-371</t>
  </si>
  <si>
    <t>PROCESO ÚNICO: EMME DYNAMEQ</t>
  </si>
  <si>
    <t>P11</t>
  </si>
  <si>
    <t xml:space="preserve">LICENCIAMIENTO ORACLE </t>
  </si>
  <si>
    <t>SGC-372</t>
  </si>
  <si>
    <t>ADQUIRIR LA RENOVACION DEL SOPORTE DEL LICENCIAMIENTO ORACLE DE PROPIEDAD DE LA SECRETARIA DISTRITAL DE MOVILIDAD</t>
  </si>
  <si>
    <t>PROCESO ÚNICO: SOFTWARE-LICENCIAMIENTO ORACLE</t>
  </si>
  <si>
    <t>P12</t>
  </si>
  <si>
    <t>ARCGIS</t>
  </si>
  <si>
    <t>SGC-373</t>
  </si>
  <si>
    <t>RENOVACION DEL SOFTWARE ESPECIALIZADO PARA SISTEMAS DE INFORMACION GEOGRAFICA ARCGIS BAJO LA MODALIDAD DE ACUERDO DE LICENCIAMIENTO CORPORATIVO ELA</t>
  </si>
  <si>
    <t>PROCESO ÚNICO: SOFTWARE-RENOVACIÓN ARCGIS</t>
  </si>
  <si>
    <t>Dora Estrada</t>
  </si>
  <si>
    <t>Ernesto Guevara</t>
  </si>
  <si>
    <t>P13</t>
  </si>
  <si>
    <t>LICENCIAMIENTO ORACLE LINUX</t>
  </si>
  <si>
    <t>SGC-374</t>
  </si>
  <si>
    <t>13.1-PROCESO MÍNIMA CUANTÍA</t>
  </si>
  <si>
    <t>SUSCRIPCION DEL SERVICIO DE SOPORTE Y MANTENIMIENTO DEL LICENCIAMIENTO ORACLE LINUX VIRTUALIZATION MANAGER DE PROPIEDAD DE LA SDM</t>
  </si>
  <si>
    <t>PROCESO ÚNICO: ORACLE LINUX</t>
  </si>
  <si>
    <t>Oscar Correa</t>
  </si>
  <si>
    <t>P14</t>
  </si>
  <si>
    <t>LICENCIACION ADOBE ACROBAT</t>
  </si>
  <si>
    <t>SGC-375</t>
  </si>
  <si>
    <t>PROCESO ÚNICO: SOFTWARE AUDIOVISUALES</t>
  </si>
  <si>
    <t>Mayerly Benavides</t>
  </si>
  <si>
    <t>P15</t>
  </si>
  <si>
    <t xml:space="preserve">LENOVO XCLARITY PRO </t>
  </si>
  <si>
    <t>SGC-377</t>
  </si>
  <si>
    <t>SUSCRIPCION Y SOPORTE DE FABRICA DEL SOFTWARE LENOVO XCLARITY PRO PARA LA SECRETARIA DISTRITAL DE MOVILIDAD</t>
  </si>
  <si>
    <t>PROCESO ÚNICO: LENOVO XCLARITY</t>
  </si>
  <si>
    <t>Yecid Rodriguez</t>
  </si>
  <si>
    <t>Jose Rene Gonzales</t>
  </si>
  <si>
    <t xml:space="preserve">Edgar Romero </t>
  </si>
  <si>
    <t>P16</t>
  </si>
  <si>
    <t xml:space="preserve">NAGIOS </t>
  </si>
  <si>
    <t>SGC-378</t>
  </si>
  <si>
    <t>RENOVACION SOPORTE Y ACTUALIZACION DEL SOFTWARE NAGIOS XI Y NAGIOS NETWORK ANALYZER LA SECRETARIA DISTRITAL DE MOVILIDAD</t>
  </si>
  <si>
    <t>PROCESO ÚNICO: NAGIOS</t>
  </si>
  <si>
    <t>Miguel Alvarez</t>
  </si>
  <si>
    <t>P17</t>
  </si>
  <si>
    <t xml:space="preserve">PALO ALTO </t>
  </si>
  <si>
    <t>SGC-379</t>
  </si>
  <si>
    <t>RENOVAR SOPORTE Y GARANTIA DE FABRICA DE LA INFRAESTRUCTURA DE SEGURIDAD DE LA INFORMACION PALOALTO PARA LA SECRETARIA DISTRITAL DE MOVILIDAD</t>
  </si>
  <si>
    <t>PROCESO ÚNICO: PALOALTO</t>
  </si>
  <si>
    <t>Jasvleydi Fajardo 
Elsa Baracaldo</t>
  </si>
  <si>
    <t>Jhon Fuentes</t>
  </si>
  <si>
    <t>Elsa Baracaldo</t>
  </si>
  <si>
    <t>P18</t>
  </si>
  <si>
    <t>NETBACKUP
VERITAS</t>
  </si>
  <si>
    <t>SGC-380</t>
  </si>
  <si>
    <t>304-SELECCIÓN ABREVIADA-MENOR CUANTÍA</t>
  </si>
  <si>
    <t>RENOVAR LA SUSCRIPCION DEL LICENCIAMIENTO Y EL SOPORTE DE FABRICA DEL SOFTWARE NETBACKUP Y RENOVAR EL APPLIANCE PARA LA SOLUCION VERITAS COHESITY DE PROPIEDAD DE LA SECRETARIA DISTRITAL DE MOVILIDAD</t>
  </si>
  <si>
    <t>PROCESO ÚNICO: NETBACKUP ENTERPRISE</t>
  </si>
  <si>
    <t>Jhon Fuentes
Oscar Bolaños</t>
  </si>
  <si>
    <t>P19</t>
  </si>
  <si>
    <t>LICENCIAMIENTO AUTODESK</t>
  </si>
  <si>
    <t>SGC-382</t>
  </si>
  <si>
    <t>SUSCRIPCION Y RENOVACION LICENCIAS DE AUTODESK</t>
  </si>
  <si>
    <t>43. AUTODESK - ORDENADOR DE GASTO: CORPORATIVA</t>
  </si>
  <si>
    <t xml:space="preserve">Ernesto Guevara </t>
  </si>
  <si>
    <t>P20</t>
  </si>
  <si>
    <t xml:space="preserve">AUDITORIA CONTINUIIDAD DEL NEGOCIO </t>
  </si>
  <si>
    <t>SGC-383</t>
  </si>
  <si>
    <t>PRESTAR LOS SERVICIOS PARA REALIZAR LA AUDITORIA DE RECERTIFICACION DE LA CERTIFICACION DEL SISTEMA DE GESTION DE CONTINUIDAD DEL NEGOCIO BAJO LA NORMA ISO 223012019</t>
  </si>
  <si>
    <t>PROCESO ÚNICO: RECERTIFICACIÓN SGCN</t>
  </si>
  <si>
    <t>Adriana Villamizar
Sandra Velasquez</t>
  </si>
  <si>
    <t>Roger Alfonso</t>
  </si>
  <si>
    <t>P21</t>
  </si>
  <si>
    <t xml:space="preserve">AUDITORIA SEGURIDAD DE LA INFORMACION </t>
  </si>
  <si>
    <t>SGC-384</t>
  </si>
  <si>
    <t>PRESTAR LOS SERVICIOS PARA REALIZAR LA AUDITORIA DE RECERTIFICACION DEL SISTEMA DE GESTION DE SEGURIDAD DE LA INFORMACION SGSI BAJO LA NORMA ISO/IEC 270012022</t>
  </si>
  <si>
    <t>PROCESO ÚNICO: RECERTIFICACIÓN SGSI</t>
  </si>
  <si>
    <t>Jasvleydi Fajardo  
Jorge Vargas</t>
  </si>
  <si>
    <t xml:space="preserve">Jasvleydi Fajardo  </t>
  </si>
  <si>
    <t>P22</t>
  </si>
  <si>
    <t>ETAPA 2 SOLUCIONES PLATAFORMA TECNOLOGICA</t>
  </si>
  <si>
    <t>SGC-385</t>
  </si>
  <si>
    <t>ETAPA 2 ADQUIRIR IMPLEMENTAR ACTUALIZAR Y SOPORTAR SOLUCIONES DE TECNOLOGIA Y SERVICIOS PARA CONTINUAR EL PROCESO DE RENOVACION DE LA PLATAFORMA TECNOLOGICA DE LA SECRETARIA DISTRITAL DE MOVILIDAD</t>
  </si>
  <si>
    <t>PROCESO ÚNICO: ADQUISICIÓN EQUIPOS</t>
  </si>
  <si>
    <t>P23</t>
  </si>
  <si>
    <t>SGC-386</t>
  </si>
  <si>
    <t>PROCESO ÚNICO: INFORMIX</t>
  </si>
  <si>
    <t>P24</t>
  </si>
  <si>
    <t>WAF</t>
  </si>
  <si>
    <t>SGC-387</t>
  </si>
  <si>
    <t>PRESTAR EL SERVICIO DE WAF EN NUBE Y SOPORTE TECNICO PARA PROTECCION DE LAS APLICACIONES WEB DE LA SECRETARIA DISTRITAL DE MOVILIDAD</t>
  </si>
  <si>
    <t>PROCESO ÚNICO: SERVICIO WAF</t>
  </si>
  <si>
    <t>Ernesto Guevara 
Marisol Caro
Jose Rene Gonzales</t>
  </si>
  <si>
    <t>P25</t>
  </si>
  <si>
    <t>RADICADO A DC</t>
  </si>
  <si>
    <t xml:space="preserve">AUDITORIAS INTERNAS </t>
  </si>
  <si>
    <t>SGC-390</t>
  </si>
  <si>
    <t>REALIZAR LAS AUDITORIAS INTERNAS DE LOS DIFERENTES SISTEMAS DE GESTION Y DEL PLAN ESTRATEGICO DE SEGURIDAD VIAL DE LA SECRETARIA DISTRITAL DE MOVILIDAD</t>
  </si>
  <si>
    <t>47. AUDITORÍAS INTERNAS - ORDENADOR DEL GASTO: CORPORATIVA</t>
  </si>
  <si>
    <t>P26</t>
  </si>
  <si>
    <t>SOPORTE PREMIER</t>
  </si>
  <si>
    <t>SGC-391</t>
  </si>
  <si>
    <t>CONTRATAR LOS SERVICIOS DE SOPORTE PREMIER BAJO EL MODELO UNIFIED DE MICROSOFT PARA LA SECRETARIA DISTRITAL DE MOVILIDAD</t>
  </si>
  <si>
    <t>PROCESO ÚNICO: SOPORTE PREMIER</t>
  </si>
  <si>
    <t>P27</t>
  </si>
  <si>
    <t>P28</t>
  </si>
  <si>
    <t>P29</t>
  </si>
  <si>
    <t xml:space="preserve">DARUMA </t>
  </si>
  <si>
    <t>Jhon Edison Rozo</t>
  </si>
  <si>
    <t>🚀  EXPORTAR DASHBOARD — Generar datos_otic.json</t>
  </si>
  <si>
    <t>Presione el botón de abajo o ejecute la macro "ExportarDashboard" para generar el archivo JSON</t>
  </si>
  <si>
    <t>▶  EXPORTAR DASHBOARD  (Ejecutar Macro: ExportarDashboard)</t>
  </si>
  <si>
    <t>INSTRUCCIONES PARA AGREGAR EL BOTÓN:</t>
  </si>
  <si>
    <t>1.</t>
  </si>
  <si>
    <t>Guarde este archivo como .xlsm (Excel habilitado para macros)</t>
  </si>
  <si>
    <t>2.</t>
  </si>
  <si>
    <t>Presione Alt+F11 para abrir el Editor VBA</t>
  </si>
  <si>
    <t>3.</t>
  </si>
  <si>
    <t>En el panel izquierdo, haga clic derecho en VBAProject → Insertar → Módulo</t>
  </si>
  <si>
    <t>4.</t>
  </si>
  <si>
    <t>Copie y pegue el código VBA que aparece más abajo en el módulo</t>
  </si>
  <si>
    <t>5.</t>
  </si>
  <si>
    <t>Cierre el editor VBA (Alt+F4 o simplemente cierre la ventana)</t>
  </si>
  <si>
    <t>6.</t>
  </si>
  <si>
    <t>Ahora puede ejecutar la macro desde Desarrollador → Macros → ExportarDashboard</t>
  </si>
  <si>
    <t>NOTA:</t>
  </si>
  <si>
    <t>El archivo JSON se guardará en la misma carpeta donde está el Excel</t>
  </si>
  <si>
    <t>CÓDIGO VBA — Copie todo el texto de abajo al Módulo VBA:</t>
  </si>
  <si>
    <t>'============================================================</t>
  </si>
  <si>
    <t>' PORTAFOLIO OTIC — Macro de Exportación a JSON</t>
  </si>
  <si>
    <t>' Instrucciones:</t>
  </si>
  <si>
    <t>'   1. Guarde el archivo como .xlsm (macro habilitado)</t>
  </si>
  <si>
    <t>'   2. Presione Alt+F11 → Insertar → Módulo</t>
  </si>
  <si>
    <t>'   3. Pegue TODO este código en el módulo</t>
  </si>
  <si>
    <t>'   4. Cierre el editor y ejecute desde Desarrollador → Macros</t>
  </si>
  <si>
    <t>Sub ExportarDashboard()</t>
  </si>
  <si>
    <t xml:space="preserve">    Dim ws As Worksheet</t>
  </si>
  <si>
    <t xml:space="preserve">    Dim wsData As Worksheet</t>
  </si>
  <si>
    <t xml:space="preserve">    Dim jsonStr As String</t>
  </si>
  <si>
    <t xml:space="preserve">    Dim filePath As String</t>
  </si>
  <si>
    <t xml:space="preserve">    Dim proyectos() As String</t>
  </si>
  <si>
    <t xml:space="preserve">    Dim i As Integer, j As Integer</t>
  </si>
  <si>
    <t xml:space="preserve">    Dim lastRow As Long</t>
  </si>
  <si>
    <t xml:space="preserve">    </t>
  </si>
  <si>
    <t xml:space="preserve">    ' Ruta del archivo JSON (misma carpeta que el Excel)</t>
  </si>
  <si>
    <t xml:space="preserve">    filePath = ThisWorkbook.Path &amp; "\datos_otic.json"</t>
  </si>
  <si>
    <t xml:space="preserve">    On Error GoTo ErrorHandler</t>
  </si>
  <si>
    <t xml:space="preserve">    ' =========================================================</t>
  </si>
  <si>
    <t xml:space="preserve">    ' 1. LEER DATA ORIGINAL</t>
  </si>
  <si>
    <t xml:space="preserve">    Set wsData = ThisWorkbook.Sheets("Data Original")</t>
  </si>
  <si>
    <t xml:space="preserve">    lastRow = wsData.Cells(wsData.Rows.Count, 1).End(xlUp).Row</t>
  </si>
  <si>
    <t xml:space="preserve">    jsonStr = "{" &amp; vbNewLine</t>
  </si>
  <si>
    <t xml:space="preserve">    jsonStr = jsonStr &amp; """fecha_exportacion"": """ &amp; Format(Now(), "YYYY-MM-DD HH:MM:SS") &amp; """," &amp; vbNewLine</t>
  </si>
  <si>
    <t xml:space="preserve">    jsonStr = jsonStr &amp; """proyectos"": [" &amp; vbNewLine</t>
  </si>
  <si>
    <t xml:space="preserve">    Dim firstProj As Boolean</t>
  </si>
  <si>
    <t xml:space="preserve">    firstProj = True</t>
  </si>
  <si>
    <t xml:space="preserve">    For i = 2 To lastRow</t>
  </si>
  <si>
    <t xml:space="preserve">        If wsData.Cells(i, 1).Value &lt;&gt; "" Then</t>
  </si>
  <si>
    <t xml:space="preserve">            Dim pid As String</t>
  </si>
  <si>
    <t xml:space="preserve">            pid = CStr(wsData.Cells(i, 1).Value)</t>
  </si>
  <si>
    <t xml:space="preserve">            </t>
  </si>
  <si>
    <t xml:space="preserve">            If Not firstProj Then</t>
  </si>
  <si>
    <t xml:space="preserve">                jsonStr = jsonStr &amp; "," &amp; vbNewLine</t>
  </si>
  <si>
    <t xml:space="preserve">            End If</t>
  </si>
  <si>
    <t xml:space="preserve">            firstProj = False</t>
  </si>
  <si>
    <t xml:space="preserve">            ' Limpiar y escapar texto</t>
  </si>
  <si>
    <t xml:space="preserve">            Dim pNombre As String</t>
  </si>
  <si>
    <t xml:space="preserve">            Dim pSupervisor As String</t>
  </si>
  <si>
    <t xml:space="preserve">            Dim pEstructurador As String</t>
  </si>
  <si>
    <t xml:space="preserve">            Dim pAbogado As String</t>
  </si>
  <si>
    <t xml:space="preserve">            Dim pEvaluadores As String</t>
  </si>
  <si>
    <t xml:space="preserve">            pNombre = LimpiarTexto(CStr(wsData.Cells(i, 3).Value))</t>
  </si>
  <si>
    <t xml:space="preserve">            pSupervisor = LimpiarTexto(CStr(wsData.Cells(i, 28).Value))</t>
  </si>
  <si>
    <t xml:space="preserve">            pEstructurador = LimpiarTexto(CStr(wsData.Cells(i, 25).Value))</t>
  </si>
  <si>
    <t xml:space="preserve">            pAbogado = LimpiarTexto(CStr(wsData.Cells(i, 26).Value))</t>
  </si>
  <si>
    <t xml:space="preserve">            pEvaluadores = LimpiarTexto(CStr(wsData.Cells(i, 27).Value))</t>
  </si>
  <si>
    <t xml:space="preserve">            ' Fechas</t>
  </si>
  <si>
    <t xml:space="preserve">            Dim fAbogado As String, fMesa As String, fRadic As String</t>
  </si>
  <si>
    <t xml:space="preserve">            fAbogado = FormatFecha(wsData.Cells(i, 15).Value)</t>
  </si>
  <si>
    <t xml:space="preserve">            fMesa = FormatFecha(wsData.Cells(i, 18).Value)</t>
  </si>
  <si>
    <t xml:space="preserve">            fRadic = FormatFecha(wsData.Cells(i, 21).Value)</t>
  </si>
  <si>
    <t xml:space="preserve">            ' Días restantes</t>
  </si>
  <si>
    <t xml:space="preserve">            Dim dAbogado As Long, dMesa As Long, dRadic As Long</t>
  </si>
  <si>
    <t xml:space="preserve">            dAbogado = IIf(IsNumeric(wsData.Cells(i, 16).Value), CLng(wsData.Cells(i, 16).Value), 0)</t>
  </si>
  <si>
    <t xml:space="preserve">            dMesa = IIf(IsNumeric(wsData.Cells(i, 19).Value), CLng(wsData.Cells(i, 19).Value), 0)</t>
  </si>
  <si>
    <t xml:space="preserve">            dRadic = IIf(IsNumeric(wsData.Cells(i, 22).Value), CLng(wsData.Cells(i, 22).Value), 0)</t>
  </si>
  <si>
    <t xml:space="preserve">            ' Valor</t>
  </si>
  <si>
    <t xml:space="preserve">            Dim pValor As Long</t>
  </si>
  <si>
    <t xml:space="preserve">            pValor = IIf(IsNumeric(wsData.Cells(i, 9).Value), CLng(wsData.Cells(i, 9).Value), 0)</t>
  </si>
  <si>
    <t xml:space="preserve">            jsonStr = jsonStr &amp; "  {" &amp; vbNewLine</t>
  </si>
  <si>
    <t xml:space="preserve">            jsonStr = jsonStr &amp; "    ""id"": """ &amp; pid &amp; """," &amp; vbNewLine</t>
  </si>
  <si>
    <t xml:space="preserve">            jsonStr = jsonStr &amp; "    ""estado"": """ &amp; LimpiarTexto(CStr(wsData.Cells(i, 2).Value)) &amp; """," &amp; vbNewLine</t>
  </si>
  <si>
    <t xml:space="preserve">            jsonStr = jsonStr &amp; "    ""nombre"": """ &amp; pNombre &amp; """," &amp; vbNewLine</t>
  </si>
  <si>
    <t xml:space="preserve">            jsonStr = jsonStr &amp; "    ""sgc"": """ &amp; LimpiarTexto(CStr(wsData.Cells(i, 4).Value)) &amp; """," &amp; vbNewLine</t>
  </si>
  <si>
    <t xml:space="preserve">            jsonStr = jsonStr &amp; "    ""modalidad"": """ &amp; LimpiarTexto(CStr(wsData.Cells(i, 5).Value)) &amp; """," &amp; vbNewLine</t>
  </si>
  <si>
    <t xml:space="preserve">            jsonStr = jsonStr &amp; "    ""objeto"": """ &amp; LimpiarTexto(CStr(wsData.Cells(i, 6).Value)) &amp; """," &amp; vbNewLine</t>
  </si>
  <si>
    <t xml:space="preserve">            jsonStr = jsonStr &amp; "    ""valor"": " &amp; pValor &amp; "," &amp; vbNewLine</t>
  </si>
  <si>
    <t xml:space="preserve">            jsonStr = jsonStr &amp; "    ""supervisor"": """ &amp; pSupervisor &amp; """," &amp; vbNewLine</t>
  </si>
  <si>
    <t xml:space="preserve">            jsonStr = jsonStr &amp; "    ""estructurador"": """ &amp; pEstructurador &amp; """," &amp; vbNewLine</t>
  </si>
  <si>
    <t xml:space="preserve">            jsonStr = jsonStr &amp; "    ""abogado"": """ &amp; pAbogado &amp; """," &amp; vbNewLine</t>
  </si>
  <si>
    <t xml:space="preserve">            jsonStr = jsonStr &amp; "    ""evaluadores"": """ &amp; pEvaluadores &amp; """," &amp; vbNewLine</t>
  </si>
  <si>
    <t xml:space="preserve">            jsonStr = jsonStr &amp; "    ""fecha_abogado"": """ &amp; fAbogado &amp; """," &amp; vbNewLine</t>
  </si>
  <si>
    <t xml:space="preserve">            jsonStr = jsonStr &amp; "    ""dias_abogado"": " &amp; dAbogado &amp; "," &amp; vbNewLine</t>
  </si>
  <si>
    <t xml:space="preserve">            jsonStr = jsonStr &amp; "    ""fecha_mesa"": """ &amp; fMesa &amp; """," &amp; vbNewLine</t>
  </si>
  <si>
    <t xml:space="preserve">            jsonStr = jsonStr &amp; "    ""dias_mesa"": " &amp; dMesa &amp; "," &amp; vbNewLine</t>
  </si>
  <si>
    <t xml:space="preserve">            jsonStr = jsonStr &amp; "    ""fecha_radicacion"": """ &amp; fRadic &amp; """," &amp; vbNewLine</t>
  </si>
  <si>
    <t xml:space="preserve">            jsonStr = jsonStr &amp; "    ""dias_radicacion"": " &amp; dRadic &amp; "," &amp; vbNewLine</t>
  </si>
  <si>
    <t xml:space="preserve">            ' =====================================================</t>
  </si>
  <si>
    <t xml:space="preserve">            ' 2. LEER TAREAS DE LA HOJA DEL PROYECTO</t>
  </si>
  <si>
    <t xml:space="preserve">            Dim wsTareas As Worksheet</t>
  </si>
  <si>
    <t xml:space="preserve">            Dim tareasJson As String</t>
  </si>
  <si>
    <t xml:space="preserve">            tareasJson = "[]"</t>
  </si>
  <si>
    <t xml:space="preserve">            On Error Resume Next</t>
  </si>
  <si>
    <t xml:space="preserve">            Set wsTareas = ThisWorkbook.Sheets(pid)</t>
  </si>
  <si>
    <t xml:space="preserve">            On Error GoTo ErrorHandler</t>
  </si>
  <si>
    <t xml:space="preserve">            If Not wsTareas Is Nothing Then</t>
  </si>
  <si>
    <t xml:space="preserve">                Dim tareaArr As String</t>
  </si>
  <si>
    <t xml:space="preserve">                tareaArr = "["</t>
  </si>
  <si>
    <t xml:space="preserve">                Dim firstTarea As Boolean</t>
  </si>
  <si>
    <t xml:space="preserve">                firstTarea = True</t>
  </si>
  <si>
    <t xml:space="preserve">                </t>
  </si>
  <si>
    <t xml:space="preserve">                Dim lastTaskRow As Long</t>
  </si>
  <si>
    <t xml:space="preserve">                lastTaskRow = 18  ' Filas 4-18 = 15 tareas max</t>
  </si>
  <si>
    <t xml:space="preserve">                For j = 4 To lastTaskRow</t>
  </si>
  <si>
    <t xml:space="preserve">                    If wsTareas.Cells(j, 4).Value &lt;&gt; "" Then</t>
  </si>
  <si>
    <t xml:space="preserve">                        If Not firstTarea Then tareaArr = tareaArr &amp; ","</t>
  </si>
  <si>
    <t xml:space="preserve">                        firstTarea = False</t>
  </si>
  <si>
    <t xml:space="preserve">                        </t>
  </si>
  <si>
    <t xml:space="preserve">                        Dim tNombre As String</t>
  </si>
  <si>
    <t xml:space="preserve">                        tNombre = LimpiarTexto(CStr(wsTareas.Cells(j, 4).Value))</t>
  </si>
  <si>
    <t xml:space="preserve">                        Dim tFase As String</t>
  </si>
  <si>
    <t xml:space="preserve">                        tFase = LimpiarTexto(CStr(wsTareas.Cells(j, 3).Value))</t>
  </si>
  <si>
    <t xml:space="preserve">                        Dim tFin As String</t>
  </si>
  <si>
    <t xml:space="preserve">                        tFin = FormatFecha(wsTareas.Cells(j, 6).Value)</t>
  </si>
  <si>
    <t xml:space="preserve">                        Dim tInicio As String</t>
  </si>
  <si>
    <t xml:space="preserve">                        tInicio = FormatFecha(wsTareas.Cells(j, 5).Value)</t>
  </si>
  <si>
    <t xml:space="preserve">                        Dim tDias As Long</t>
  </si>
  <si>
    <t xml:space="preserve">                        tDias = IIf(IsNumeric(wsTareas.Cells(j, 7).Value), CLng(wsTareas.Cells(j, 7).Value), 0)</t>
  </si>
  <si>
    <t xml:space="preserve">                        Dim tAvance As Long</t>
  </si>
  <si>
    <t xml:space="preserve">                        tAvance = IIf(IsNumeric(wsTareas.Cells(j, 8).Value), CLng(wsTareas.Cells(j, 8).Value), 0)</t>
  </si>
  <si>
    <t xml:space="preserve">                        Dim tEstado As String</t>
  </si>
  <si>
    <t xml:space="preserve">                        tEstado = LimpiarTexto(CStr(wsTareas.Cells(j, 9).Value))</t>
  </si>
  <si>
    <t xml:space="preserve">                        tareaArr = tareaArr &amp; vbNewLine &amp; "      {"</t>
  </si>
  <si>
    <t xml:space="preserve">                        tareaArr = tareaArr &amp; """num"": " &amp; (j - 3) &amp; ","</t>
  </si>
  <si>
    <t xml:space="preserve">                        tareaArr = tareaArr &amp; """fase"": """ &amp; tFase &amp; ""","</t>
  </si>
  <si>
    <t xml:space="preserve">                        tareaArr = tareaArr &amp; """nombre"": """ &amp; tNombre &amp; ""","</t>
  </si>
  <si>
    <t xml:space="preserve">                        tareaArr = tareaArr &amp; """inicio"": """ &amp; tInicio &amp; ""","</t>
  </si>
  <si>
    <t xml:space="preserve">                        tareaArr = tareaArr &amp; """fin"": """ &amp; tFin &amp; ""","</t>
  </si>
  <si>
    <t xml:space="preserve">                        tareaArr = tareaArr &amp; """dias"": " &amp; tDias &amp; ","</t>
  </si>
  <si>
    <t xml:space="preserve">                        tareaArr = tareaArr &amp; """avance"": " &amp; tAvance &amp; ","</t>
  </si>
  <si>
    <t xml:space="preserve">                        tareaArr = tareaArr &amp; """estado"": """ &amp; tEstado &amp; """"</t>
  </si>
  <si>
    <t xml:space="preserve">                        tareaArr = tareaArr &amp; "}"</t>
  </si>
  <si>
    <t xml:space="preserve">                    End If</t>
  </si>
  <si>
    <t xml:space="preserve">                Next j</t>
  </si>
  <si>
    <t xml:space="preserve">                tareasJson = tareaArr &amp; "]"</t>
  </si>
  <si>
    <t xml:space="preserve">                Set wsTareas = Nothing</t>
  </si>
  <si>
    <t xml:space="preserve">            ' Progreso general del proyecto</t>
  </si>
  <si>
    <t xml:space="preserve">            Dim progGeneral As Long</t>
  </si>
  <si>
    <t xml:space="preserve">            progGeneral = 0</t>
  </si>
  <si>
    <t xml:space="preserve">                Dim rProg As Range</t>
  </si>
  <si>
    <t xml:space="preserve">                Set rProg = wsTareas.Range("H19")</t>
  </si>
  <si>
    <t xml:space="preserve">                If IsNumeric(rProg.Value) Then</t>
  </si>
  <si>
    <t xml:space="preserve">                    progGeneral = CLng(rProg.Value)</t>
  </si>
  <si>
    <t xml:space="preserve">                End If</t>
  </si>
  <si>
    <t xml:space="preserve">            jsonStr = jsonStr &amp; "    ""progreso_general"": " &amp; progGeneral &amp; "," &amp; vbNewLine</t>
  </si>
  <si>
    <t xml:space="preserve">            jsonStr = jsonStr &amp; "    ""tareas"": " &amp; tareasJson &amp; vbNewLine</t>
  </si>
  <si>
    <t xml:space="preserve">            jsonStr = jsonStr &amp; "  }"</t>
  </si>
  <si>
    <t xml:space="preserve">        End If</t>
  </si>
  <si>
    <t xml:space="preserve">    Next i</t>
  </si>
  <si>
    <t xml:space="preserve">    jsonStr = jsonStr &amp; vbNewLine &amp; "]" &amp; vbNewLine &amp; "}"</t>
  </si>
  <si>
    <t xml:space="preserve">    ' 3. ESCRIBIR ARCHIVO JSON</t>
  </si>
  <si>
    <t xml:space="preserve">    Dim fileNum As Integer</t>
  </si>
  <si>
    <t xml:space="preserve">    fileNum = FreeFile()</t>
  </si>
  <si>
    <t xml:space="preserve">    Open filePath For Output As #fileNum</t>
  </si>
  <si>
    <t xml:space="preserve">    Print #fileNum, jsonStr</t>
  </si>
  <si>
    <t xml:space="preserve">    Close #fileNum</t>
  </si>
  <si>
    <t xml:space="preserve">    MsgBox "✅ Dashboard exportado exitosamente!" &amp; vbNewLine &amp; vbNewLine &amp; _</t>
  </si>
  <si>
    <t xml:space="preserve">           "Archivo: datos_otic.json" &amp; vbNewLine &amp; _</t>
  </si>
  <si>
    <t xml:space="preserve">           "Ubicación: " &amp; filePath &amp; vbNewLine &amp; vbNewLine &amp; _</t>
  </si>
  <si>
    <t xml:space="preserve">           "Ahora abra dashboard_otic.html en Chrome o Edge.", _</t>
  </si>
  <si>
    <t xml:space="preserve">           vbInformation, "Exportación Exitosa"</t>
  </si>
  <si>
    <t xml:space="preserve">    Exit Sub</t>
  </si>
  <si>
    <t>ErrorHandler:</t>
  </si>
  <si>
    <t xml:space="preserve">    MsgBox "❌ Error al exportar: " &amp; Err.Description, vbCritical, "Error"</t>
  </si>
  <si>
    <t>End Sub</t>
  </si>
  <si>
    <t>' =========================================================</t>
  </si>
  <si>
    <t>' Funciones auxiliares</t>
  </si>
  <si>
    <t>Function LimpiarTexto(texto As String) As String</t>
  </si>
  <si>
    <t xml:space="preserve">    Dim resultado As String</t>
  </si>
  <si>
    <t xml:space="preserve">    resultado = texto</t>
  </si>
  <si>
    <t xml:space="preserve">    resultado = Replace(resultado, Chr(10), ", ")</t>
  </si>
  <si>
    <t xml:space="preserve">    resultado = Replace(resultado, Chr(13), "")</t>
  </si>
  <si>
    <t xml:space="preserve">    resultado = Replace(resultado, """", "'")</t>
  </si>
  <si>
    <t xml:space="preserve">    resultado = Replace(resultado, "\", "/")</t>
  </si>
  <si>
    <t xml:space="preserve">    LimpiarTexto = Trim(resultado)</t>
  </si>
  <si>
    <t>End Function</t>
  </si>
  <si>
    <t>Function FormatFecha(valor As Variant) As String</t>
  </si>
  <si>
    <t xml:space="preserve">    If IsDate(valor) And Not IsEmpty(valor) Then</t>
  </si>
  <si>
    <t xml:space="preserve">        FormatFecha = Format(CDate(valor), "YYYY-MM-DD")</t>
  </si>
  <si>
    <t xml:space="preserve">    Else</t>
  </si>
  <si>
    <t xml:space="preserve">        FormatFecha = ""</t>
  </si>
  <si>
    <t xml:space="preserve">    End If</t>
  </si>
  <si>
    <t>📝  FORMULARIO DE INGRESO DE TAREAS</t>
  </si>
  <si>
    <t>Complete los campos en amarillo. Los campos en gris se calculan automáticamente.</t>
  </si>
  <si>
    <t>PROYECTO (ID):</t>
  </si>
  <si>
    <t>ℹ️  Ingrese el ID del proyecto (P1, P2, P3…) al que pertenecen estas tareas</t>
  </si>
  <si>
    <t>#</t>
  </si>
  <si>
    <t>NOMBRE DE LA TAREA</t>
  </si>
  <si>
    <t>FECHA INICIO</t>
  </si>
  <si>
    <t>FECHA FIN
COMPROMETIDA</t>
  </si>
  <si>
    <t>DÍAS
RESTANTES</t>
  </si>
  <si>
    <t>% AVANCE</t>
  </si>
  <si>
    <t>📌  INSTRUCCIONES DE USO</t>
  </si>
  <si>
    <t>1️⃣  Escriba el ID del proyecto arriba (celda E5) → Ej: P1, P2, P3…</t>
  </si>
  <si>
    <t>2️⃣  Complete las columnas AMARILLAS: Nombre de Tarea, Fecha Inicio, Fecha Fin, % Avance</t>
  </si>
  <si>
    <t>3️⃣  Las columnas GRISES se calcularán automáticamente:</t>
  </si>
  <si>
    <t xml:space="preserve">     • Días Restantes = Fecha Fin - Hoy</t>
  </si>
  <si>
    <t xml:space="preserve">     • Estado: 🟢 En tiempo (&gt;5 días) · 🟡 Por vencer (1-5 días) · 🔴 Vencida (&lt;=0 días) · ✅ Completada (100%)</t>
  </si>
  <si>
    <t>4️⃣  Una vez completadas las tareas, copie esta información a la hoja del proyecto correspondiente (P1, P2, P3…)</t>
  </si>
  <si>
    <t>💡 TIP: Puede agregar o quitar filas según necesite más o menos tareas.</t>
  </si>
  <si>
    <t>📊  PORTAFOLIO OTIC — DASHBOARD DE GESTIÓN</t>
  </si>
  <si>
    <t>▶ PROYECTO:</t>
  </si>
  <si>
    <t>← Escriba el ID (P1, P2 ... P29)</t>
  </si>
  <si>
    <t xml:space="preserve">  ⏱ VELOCÍMETROS — SEMÁFORO DE FECHAS CLAVE</t>
  </si>
  <si>
    <t>INDICADOR</t>
  </si>
  <si>
    <t>FECHA META</t>
  </si>
  <si>
    <t>DÍAS</t>
  </si>
  <si>
    <t>ESTADO / SEMÁFORO</t>
  </si>
  <si>
    <t>📄 ENTREGA ABOGADO OTIC
6 días antes de Mesa</t>
  </si>
  <si>
    <t>🤝 MESA DE TRABAJO
Fecha comprometida</t>
  </si>
  <si>
    <t>⚡ RADICACIÓN CONTRATACIÓN
⚠ CRÍTICA — umbral 20 días</t>
  </si>
  <si>
    <t xml:space="preserve">  📋 DATOS DEL PROYECTO  &amp;  👥 EQUIPO OTIC</t>
  </si>
  <si>
    <t>📋 Datos del Proyecto</t>
  </si>
  <si>
    <t>👥 Equipo OTIC Asignado</t>
  </si>
  <si>
    <t>ID Proyecto</t>
  </si>
  <si>
    <t>Supervisor</t>
  </si>
  <si>
    <t>Nombre</t>
  </si>
  <si>
    <t>Modalidad</t>
  </si>
  <si>
    <t>Estructurador</t>
  </si>
  <si>
    <t>Estado</t>
  </si>
  <si>
    <t>Valor Proyecto</t>
  </si>
  <si>
    <t>Abogado OTIC</t>
  </si>
  <si>
    <t xml:space="preserve">  📝 TAREAS COMPROMETIDAS POR EL SUPERVISOR</t>
  </si>
  <si>
    <t>TAREA</t>
  </si>
  <si>
    <t>F. INICIO</t>
  </si>
  <si>
    <t>F. FIN</t>
  </si>
  <si>
    <t>DÍAS REST.</t>
  </si>
  <si>
    <t>PROGRESO GENERAL:</t>
  </si>
  <si>
    <t>ℹ️  Las tareas se cargan desde la hoja del proyecto (P1, P2…) · Semáforo: 🟢 &gt;5d | 🟡 1-5d | 🔴 Vencida | ✅ Completada</t>
  </si>
  <si>
    <t>📋  PLAN DE TRABAJO — P1: DARUMA QUITAR</t>
  </si>
  <si>
    <t>⚠️  Campos AMARILLOS: ingresar datos  |  Campos GRISES: calculados automáticamente  |  % Avance: 0-100</t>
  </si>
  <si>
    <t>ID</t>
  </si>
  <si>
    <t>FASE</t>
  </si>
  <si>
    <t>F. FIN
COMPROMETIDA</t>
  </si>
  <si>
    <t>PROGRESO</t>
  </si>
  <si>
    <t>Estructuracion</t>
  </si>
  <si>
    <t>Asignacion proyecto</t>
  </si>
  <si>
    <t>Estudio previo</t>
  </si>
  <si>
    <t>Estudio de sector</t>
  </si>
  <si>
    <t>Estudio de mercado</t>
  </si>
  <si>
    <t>Ficha técnica</t>
  </si>
  <si>
    <t>Tarea 6</t>
  </si>
  <si>
    <t>Tarea 7</t>
  </si>
  <si>
    <t>Tarea 8</t>
  </si>
  <si>
    <t>Tarea 9</t>
  </si>
  <si>
    <t>Tarea 10</t>
  </si>
  <si>
    <t>Gestionar y escalar impedimentos con las áreas o responsables correspondientes lo que conlleva a un apoyo en la interacción con otras áreas</t>
  </si>
  <si>
    <t>📊  PROGRESO GENERAL DEL PROYECTO</t>
  </si>
  <si>
    <t>📋  PLAN DE TRABAJO — P2: EQUIPOS ACTIVOS DE RED ETAPA 3</t>
  </si>
  <si>
    <t>Análisis de requerimientos</t>
  </si>
  <si>
    <t>Elaboración términos de referencia</t>
  </si>
  <si>
    <t>Certificado de disponibilidad presupuestal</t>
  </si>
  <si>
    <t>Revisión jurídica</t>
  </si>
  <si>
    <t>Publicación SECOP</t>
  </si>
  <si>
    <t>Recepción ofertas</t>
  </si>
  <si>
    <t>Evaluación técnica</t>
  </si>
  <si>
    <t>Evaluación económica</t>
  </si>
  <si>
    <t>Informe de evaluación</t>
  </si>
  <si>
    <t>Adjudicación</t>
  </si>
  <si>
    <t>📋  PLAN DE TRABAJO — P3: GOOGLE WORKSPACE</t>
  </si>
  <si>
    <t>📋  PLAN DE TRABAJO — P4: NUBE</t>
  </si>
  <si>
    <t>📋  PLAN DE TRABAJO — P5: IMPRESIÓN ETIQUETAS</t>
  </si>
  <si>
    <t>📋  PLAN DE TRABAJO — P6: ARQUITECTURA EMPRESARIAL</t>
  </si>
  <si>
    <t>📋  PLAN DE TRABAJO — P7: LICENCIAS MICROSOFT</t>
  </si>
  <si>
    <t>📋  PLAN DE TRABAJO — P8: ANTIVIRUS Y XDR</t>
  </si>
  <si>
    <t>📋  PLAN DE TRABAJO — P9: TRANSCAD TRANSMODELER</t>
  </si>
  <si>
    <t>📋  PLAN DE TRABAJO — P10: EMME DYBAMEQ</t>
  </si>
  <si>
    <t>📋  PLAN DE TRABAJO — P11: LICENCIAMIENTO ORACLE</t>
  </si>
  <si>
    <t>📋  PLAN DE TRABAJO — P12: ARCGIS</t>
  </si>
  <si>
    <t>📋  PLAN DE TRABAJO — P13: LICENCIAMIENTO ORACLE LINUX</t>
  </si>
  <si>
    <t>📋  PLAN DE TRABAJO — P14: LICENCIACION ADOBE ACROBAT</t>
  </si>
  <si>
    <t>📋  PLAN DE TRABAJO — P15: LENOVO XCLARITY PRO</t>
  </si>
  <si>
    <t>📋  PLAN DE TRABAJO — P16: NAGIOS</t>
  </si>
  <si>
    <t>📋  PLAN DE TRABAJO — P17: PALO ALTO</t>
  </si>
  <si>
    <t>📋  PLAN DE TRABAJO — P18: NETBACKUP VERITAS</t>
  </si>
  <si>
    <t>📋  PLAN DE TRABAJO — P19: LICENCIAMIENTO AUTODESK</t>
  </si>
  <si>
    <t>📋  PLAN DE TRABAJO — P20: AUDITORIA CONTINUIIDAD DEL NEGOCIO</t>
  </si>
  <si>
    <t>📋  PLAN DE TRABAJO — P21: AUDITORIA SEGURIDAD DE LA INFORMACION</t>
  </si>
  <si>
    <t>📋  PLAN DE TRABAJO — P22: ETAPA 2 SOLUCIONES PLATAFORMA TECNOLOGICA</t>
  </si>
  <si>
    <t>📋  PLAN DE TRABAJO — P23: SOPORTE INFORMIX</t>
  </si>
  <si>
    <t>📋  PLAN DE TRABAJO — P24: WAF</t>
  </si>
  <si>
    <t>📋  PLAN DE TRABAJO — P25: AUDITORIAS INTERNAS</t>
  </si>
  <si>
    <t>📋  PLAN DE TRABAJO — P26: SOPORTE PREMIER</t>
  </si>
  <si>
    <t>📋  PLAN DE TRABAJO — P27: FIRMA DIGITAL  QUITAR</t>
  </si>
  <si>
    <t>📋  PLAN DE TRABAJO — P28: API QUITAR</t>
  </si>
  <si>
    <t>📋  PLAN DE TRABAJO — P29: DARUMA</t>
  </si>
  <si>
    <t>GARANTIA EXTENDIDA LOTE 3</t>
  </si>
  <si>
    <t xml:space="preserve">ARQUITECTURA EMPRESARIAL </t>
  </si>
  <si>
    <t>(DEJAR EN CEROS)</t>
  </si>
  <si>
    <t>SGC-244</t>
  </si>
  <si>
    <t>SGC-248</t>
  </si>
  <si>
    <t xml:space="preserve">12.4-CONTRATACIÓN DIRECTA-CONVENIOS O CONTRATOS INTERADMINISTRATIVOS </t>
  </si>
  <si>
    <t xml:space="preserve">200-LICITACIÓN PÚBLICA </t>
  </si>
  <si>
    <t>RENOVACION DE SOPORTE DE FABRICA Y GARANTIA EXTENDIDA PARA LA PLATAFORMA LENOVO DE LA SECRETARIA DISTRITAL DE MOVILIDAD</t>
  </si>
  <si>
    <t xml:space="preserve">14.2-SELECCIÓN ABREVIADA - COMPRA CATALOGO ACUERDO MARCO PRECIOS </t>
  </si>
  <si>
    <t>ADQUIRIR LA RENOVACION DEL SOPORTE Y MANTENIMIENTO DEL LICENCIAMIENTO DE TRANSCAD TRANSMODELER DE PROPIEDAD DE LA SECRETARIA DISTRITAL DE MOVILIDAD</t>
  </si>
  <si>
    <t>ADQUIRIR LA RENOVACION DEL SOPORTE Y MANTENIMIENTO DEL LICENCIAMIENTO DE EMME DYNAMEQ DE PROPIEDAD DE LA SECRETARIA DISTRITAL DE MOVILIDAD</t>
  </si>
  <si>
    <t>RENOVACION DEL LICENCIAMIENTO POR SUSCRIPCION DE ADOBE ACROBAT PRO ADOBE CREATIVE CLOUD Y MICROSOFT POWER BI PARA LA SECRETARIA DISTRITAL DE MOVILIDAD</t>
  </si>
  <si>
    <t>ADQUIRIR LA RENOVACION DE LA SUSCRIPCION DE SOPORTE INFORMIX PARA LA SECRETARIA DISTRITAL DE MOVILIDAD</t>
  </si>
  <si>
    <t xml:space="preserve">Yecid Rodriguez
Martha Zambrano </t>
  </si>
  <si>
    <t>Miguel Alvarez
Oscar Correa</t>
  </si>
  <si>
    <t>Mayerly Benavidez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</si>
</sst>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d/mm/yyyy;@"/>
    <numFmt numFmtId="166" formatCode="dd/mm/yy;@"/>
    <numFmt numFmtId="167" formatCode="0&quot;%&quot;"/>
  </numFmts>
  <fonts count="48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3A4F66"/>
      <name val="Arial"/>
      <family val="2"/>
    </font>
    <font>
      <b/>
      <sz val="11"/>
      <color rgb="FF3A4F66"/>
      <name val="Arial"/>
      <family val="2"/>
    </font>
    <font>
      <b/>
      <sz val="12"/>
      <color rgb="FF000000"/>
      <name val="Arial"/>
      <family val="2"/>
    </font>
    <font>
      <i/>
      <sz val="9"/>
      <color rgb="FF6E8097"/>
      <name val="Arial"/>
      <family val="2"/>
    </font>
    <font>
      <b/>
      <sz val="10"/>
      <color rgb="FFFFFFFF"/>
      <name val="Arial"/>
      <family val="2"/>
    </font>
    <font>
      <b/>
      <sz val="10"/>
      <color rgb="FF3A4F66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3A4F66"/>
      <name val="Arial"/>
      <family val="2"/>
    </font>
    <font>
      <b/>
      <sz val="15"/>
      <color rgb="FFFFFFFF"/>
      <name val="Arial"/>
      <family val="2"/>
    </font>
    <font>
      <b/>
      <sz val="10"/>
      <color rgb="FF0B8FA0"/>
      <name val="Arial"/>
      <family val="2"/>
    </font>
    <font>
      <b/>
      <sz val="13"/>
      <color rgb="FF0F1824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0F1824"/>
      <name val="Arial"/>
      <family val="2"/>
    </font>
    <font>
      <b/>
      <sz val="8"/>
      <color rgb="FF0F1824"/>
      <name val="Arial"/>
      <family val="2"/>
    </font>
    <font>
      <sz val="9"/>
      <color rgb="FF0F1824"/>
      <name val="Arial"/>
      <family val="2"/>
    </font>
    <font>
      <b/>
      <sz val="10"/>
      <color rgb="FF0F1824"/>
      <name val="Arial"/>
      <family val="2"/>
    </font>
    <font>
      <b/>
      <sz val="8"/>
      <color rgb="FF6E8097"/>
      <name val="Arial"/>
      <family val="2"/>
    </font>
    <font>
      <b/>
      <sz val="9"/>
      <color rgb="FF166534"/>
      <name val="Arial"/>
      <family val="2"/>
    </font>
    <font>
      <b/>
      <sz val="11"/>
      <color rgb="FF0F1824"/>
      <name val="Arial"/>
      <family val="2"/>
    </font>
    <font>
      <b/>
      <sz val="9"/>
      <color rgb="FF3A4F66"/>
      <name val="Arial"/>
      <family val="2"/>
    </font>
    <font>
      <b/>
      <sz val="11"/>
      <color rgb="FF0B8FA0"/>
      <name val="Arial"/>
      <family val="2"/>
    </font>
    <font>
      <i/>
      <sz val="8"/>
      <color rgb="FF6E8097"/>
      <name val="Arial"/>
      <family val="2"/>
    </font>
    <font>
      <b/>
      <sz val="16"/>
      <color rgb="FFFFFFFF"/>
      <name val="Arial"/>
      <family val="2"/>
    </font>
    <font>
      <i/>
      <sz val="11"/>
      <color rgb="FF0B6975"/>
      <name val="Arial"/>
      <family val="2"/>
    </font>
    <font>
      <b/>
      <sz val="11"/>
      <color rgb="FFFFFFFF"/>
      <name val="Arial"/>
      <family val="2"/>
    </font>
    <font>
      <b/>
      <sz val="10"/>
      <color rgb="FF0B6975"/>
      <name val="Arial"/>
      <family val="2"/>
    </font>
    <font>
      <sz val="10"/>
      <color rgb="FF333333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FFFFFF"/>
      <name val="Arial"/>
      <family val="2"/>
    </font>
    <font>
      <i/>
      <sz val="10"/>
      <color rgb="FF0B6975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0B6975"/>
      <name val="Arial"/>
      <family val="2"/>
    </font>
    <font>
      <b/>
      <sz val="9"/>
      <color rgb="FF0B6975"/>
      <name val="Arial"/>
      <family val="2"/>
    </font>
    <font>
      <sz val="9"/>
      <color rgb="FF1A3A4A"/>
      <name val="Arial"/>
      <family val="2"/>
    </font>
    <font>
      <b/>
      <sz val="9"/>
      <color rgb="FF1A3A4A"/>
      <name val="Arial"/>
      <family val="2"/>
    </font>
    <font>
      <b/>
      <sz val="9"/>
      <name val="Arial"/>
      <family val="2"/>
    </font>
    <font>
      <sz val="9"/>
      <color rgb="FF0E9FAF"/>
      <name val="Arial"/>
      <family val="2"/>
    </font>
    <font>
      <b/>
      <sz val="12"/>
      <color rgb="FF0B6975"/>
      <name val="Arial"/>
      <family val="2"/>
    </font>
    <font>
      <sz val="9"/>
      <color rgb="FF0B6975"/>
      <name val="Arial"/>
      <family val="2"/>
    </font>
    <font>
      <sz val="8"/>
      <color rgb="FF1A3A4A"/>
      <name val="Courier New"/>
      <family val="3"/>
    </font>
    <font>
      <sz val="9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3A4F66"/>
        <bgColor rgb="FF254061"/>
      </patternFill>
    </fill>
    <fill>
      <patternFill patternType="solid">
        <fgColor rgb="FF0B8FA0"/>
        <bgColor rgb="FF008080"/>
      </patternFill>
    </fill>
    <fill>
      <patternFill patternType="solid">
        <fgColor rgb="FFDFF4F7"/>
        <bgColor rgb="FFEDF0F5"/>
      </patternFill>
    </fill>
    <fill>
      <patternFill patternType="solid">
        <fgColor rgb="FFEEF2F7"/>
        <bgColor rgb="FFEDF0F5"/>
      </patternFill>
    </fill>
    <fill>
      <patternFill patternType="solid">
        <fgColor rgb="FFFFEB9C"/>
        <bgColor rgb="FFE7E6E6"/>
      </patternFill>
    </fill>
    <fill>
      <patternFill patternType="solid">
        <fgColor rgb="FFEDF0F5"/>
        <bgColor rgb="FFEEF2F7"/>
      </patternFill>
    </fill>
    <fill>
      <patternFill patternType="solid">
        <fgColor rgb="FFD9E2F3"/>
        <bgColor rgb="FFDCE5F0"/>
      </patternFill>
    </fill>
    <fill>
      <patternFill patternType="solid">
        <fgColor rgb="FFE2E8F0"/>
        <bgColor rgb="FFDCE5F0"/>
      </patternFill>
    </fill>
    <fill>
      <patternFill patternType="solid">
        <fgColor rgb="FFC9A84C"/>
        <bgColor rgb="FFA5A5A5"/>
      </patternFill>
    </fill>
    <fill>
      <patternFill patternType="solid">
        <fgColor rgb="FFFCD34D"/>
        <bgColor rgb="FFFFEB9C"/>
      </patternFill>
    </fill>
    <fill>
      <patternFill patternType="solid">
        <fgColor rgb="FFFFFFFF"/>
        <bgColor rgb="FFFFFBEB"/>
      </patternFill>
    </fill>
    <fill>
      <patternFill patternType="solid">
        <fgColor rgb="FFDCE5F0"/>
        <bgColor rgb="FFD9E2F3"/>
      </patternFill>
    </fill>
    <fill>
      <patternFill patternType="solid">
        <fgColor rgb="FFF4F7FC"/>
        <bgColor rgb="FFEEF2F7"/>
      </patternFill>
    </fill>
    <fill>
      <patternFill patternType="solid">
        <fgColor rgb="FF0B6975"/>
      </patternFill>
    </fill>
    <fill>
      <patternFill patternType="solid">
        <fgColor rgb="FFD0F4F8"/>
      </patternFill>
    </fill>
    <fill>
      <patternFill patternType="solid">
        <fgColor rgb="FF0E9FAF"/>
      </patternFill>
    </fill>
    <fill>
      <patternFill patternType="solid">
        <fgColor rgb="FFFFFFFF"/>
      </patternFill>
    </fill>
    <fill>
      <patternFill patternType="solid">
        <fgColor rgb="FFF0F4F6"/>
      </patternFill>
    </fill>
    <fill>
      <patternFill patternType="solid">
        <fgColor rgb="FFFFF9C4"/>
      </patternFill>
    </fill>
    <fill>
      <patternFill patternType="solid">
        <fgColor rgb="FFF8FEFF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rgb="FFBEC9D8"/>
      </left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thin">
        <color rgb="FFBEC9D8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thin">
        <color rgb="FFBEC9D8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medium">
        <color rgb="FF7A8FA8"/>
      </right>
      <top style="thin">
        <color rgb="FFBEC9D8"/>
      </top>
      <bottom style="thin">
        <color rgb="FFBEC9D8"/>
      </bottom>
      <diagonal/>
    </border>
    <border>
      <left style="medium">
        <color rgb="FF7A8FA8"/>
      </left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 style="thin">
        <color rgb="FFBEC9D8"/>
      </left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 style="medium">
        <color rgb="FF7A8FA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/>
      <top style="medium">
        <color rgb="FF0B8FA0"/>
      </top>
      <bottom style="medium">
        <color rgb="FF0B8FA0"/>
      </bottom>
      <diagonal/>
    </border>
    <border>
      <left style="medium">
        <color rgb="FF0B8FA0"/>
      </left>
      <right style="medium">
        <color rgb="FF0B8FA0"/>
      </right>
      <top style="medium">
        <color rgb="FF0B8FA0"/>
      </top>
      <bottom style="medium">
        <color rgb="FF0B8FA0"/>
      </bottom>
      <diagonal/>
    </border>
    <border>
      <left/>
      <right style="medium">
        <color rgb="FF7A8FA8"/>
      </right>
      <top style="medium">
        <color rgb="FF0B8FA0"/>
      </top>
      <bottom style="medium">
        <color rgb="FF0B8FA0"/>
      </bottom>
      <diagonal/>
    </border>
    <border>
      <left style="medium">
        <color rgb="FF7A8FA8"/>
      </left>
      <right style="medium">
        <color rgb="FF7A8FA8"/>
      </right>
      <top style="medium">
        <color rgb="FF0B8FA0"/>
      </top>
      <bottom style="thin">
        <color rgb="FFBEC9D8"/>
      </bottom>
      <diagonal/>
    </border>
    <border>
      <left style="medium">
        <color rgb="FF0B8FA0"/>
      </left>
      <right/>
      <top/>
      <bottom/>
      <diagonal/>
    </border>
    <border>
      <left/>
      <right style="thin">
        <color rgb="FFBEC9D8"/>
      </right>
      <top style="thin">
        <color rgb="FFBEC9D8"/>
      </top>
      <bottom style="thin">
        <color rgb="FFBEC9D8"/>
      </bottom>
      <diagonal/>
    </border>
    <border>
      <left/>
      <right style="medium">
        <color rgb="FF7A8FA8"/>
      </right>
      <top style="thin">
        <color rgb="FFBEC9D8"/>
      </top>
      <bottom style="thin">
        <color rgb="FFBEC9D8"/>
      </bottom>
      <diagonal/>
    </border>
    <border>
      <left style="medium">
        <color rgb="FF7A8FA8"/>
      </left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 style="thin">
        <color rgb="FFBEC9D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thin">
        <color rgb="FF7A8FA8"/>
      </right>
      <top style="medium">
        <color rgb="FF7A8FA8"/>
      </top>
      <bottom style="medium">
        <color rgb="FF7A8FA8"/>
      </bottom>
      <diagonal/>
    </border>
    <border>
      <left style="thin">
        <color rgb="FF7A8FA8"/>
      </left>
      <right style="thin">
        <color rgb="FF7A8FA8"/>
      </right>
      <top style="medium">
        <color rgb="FF7A8FA8"/>
      </top>
      <bottom style="medium">
        <color rgb="FF7A8FA8"/>
      </bottom>
      <diagonal/>
    </border>
    <border>
      <left style="thin">
        <color rgb="FF7A8FA8"/>
      </left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 style="medium">
        <color rgb="FF7A8FA8"/>
      </left>
      <right style="medium">
        <color rgb="FF97A8BC"/>
      </right>
      <top style="thin">
        <color rgb="FFBEC9D8"/>
      </top>
      <bottom style="thin">
        <color rgb="FFBEC9D8"/>
      </bottom>
      <diagonal/>
    </border>
    <border>
      <left style="thin">
        <color rgb="FFBEC9D8"/>
      </left>
      <right style="medium">
        <color rgb="FF7A8FA8"/>
      </right>
      <top style="thin">
        <color rgb="FFBEC9D8"/>
      </top>
      <bottom style="medium">
        <color rgb="FF7A8FA8"/>
      </bottom>
      <diagonal/>
    </border>
    <border>
      <left style="medium">
        <color rgb="FF7A8FA8"/>
      </left>
      <right/>
      <top style="medium">
        <color rgb="FF7A8FA8"/>
      </top>
      <bottom style="medium">
        <color rgb="FF7A8FA8"/>
      </bottom>
      <diagonal/>
    </border>
    <border>
      <left style="thin">
        <color rgb="FFBEC9D8"/>
      </left>
      <right/>
      <top style="medium">
        <color rgb="FF7A8FA8"/>
      </top>
      <bottom style="medium">
        <color rgb="FF7A8FA8"/>
      </bottom>
      <diagonal/>
    </border>
    <border>
      <left/>
      <right/>
      <top style="medium">
        <color rgb="FF7A8FA8"/>
      </top>
      <bottom style="medium">
        <color rgb="FF7A8FA8"/>
      </bottom>
      <diagonal/>
    </border>
    <border>
      <left/>
      <right style="medium">
        <color rgb="FF7A8FA8"/>
      </right>
      <top style="medium">
        <color rgb="FF7A8FA8"/>
      </top>
      <bottom style="medium">
        <color rgb="FF7A8FA8"/>
      </bottom>
      <diagonal/>
    </border>
    <border>
      <left/>
      <right/>
      <top style="medium">
        <color rgb="FF0B8FA0"/>
      </top>
      <bottom style="medium">
        <color rgb="FF0B8FA0"/>
      </bottom>
      <diagonal/>
    </border>
    <border>
      <left/>
      <right/>
      <top style="medium">
        <color rgb="FF0B8FA0"/>
      </top>
      <bottom style="thin">
        <color rgb="FFBEC9D8"/>
      </bottom>
      <diagonal/>
    </border>
    <border>
      <left/>
      <right style="medium">
        <color rgb="FF7A8FA8"/>
      </right>
      <top style="medium">
        <color rgb="FF0B8FA0"/>
      </top>
      <bottom style="thin">
        <color rgb="FFBEC9D8"/>
      </bottom>
      <diagonal/>
    </border>
    <border>
      <left/>
      <right style="thin">
        <color rgb="FFBEC9D8"/>
      </right>
      <top style="medium">
        <color rgb="FF7A8FA8"/>
      </top>
      <bottom style="medium">
        <color rgb="FF7A8FA8"/>
      </bottom>
      <diagonal/>
    </border>
    <border>
      <left/>
      <right/>
      <top style="thin">
        <color rgb="FFBEC9D8"/>
      </top>
      <bottom style="thin">
        <color rgb="FFBEC9D8"/>
      </bottom>
      <diagonal/>
    </border>
    <border>
      <left/>
      <right style="thin">
        <color rgb="FFBEC9D8"/>
      </right>
      <top style="thin">
        <color rgb="FFBEC9D8"/>
      </top>
      <bottom style="medium">
        <color rgb="FF7A8FA8"/>
      </bottom>
      <diagonal/>
    </border>
    <border>
      <left/>
      <right/>
      <top style="thin">
        <color rgb="FFBEC9D8"/>
      </top>
      <bottom style="medium">
        <color rgb="FF7A8FA8"/>
      </bottom>
      <diagonal/>
    </border>
    <border>
      <left style="thin">
        <color rgb="FFB0C4CC"/>
      </left>
      <right style="thin">
        <color rgb="FFB0C4CC"/>
      </right>
      <top style="thin">
        <color rgb="FFB0C4CC"/>
      </top>
      <bottom style="thin">
        <color rgb="FFB0C4CC"/>
      </bottom>
      <diagonal/>
    </border>
    <border>
      <left style="thin">
        <color rgb="FFB0C4CC"/>
      </left>
      <right/>
      <top/>
      <bottom/>
      <diagonal/>
    </border>
    <border>
      <left/>
      <right style="thin">
        <color rgb="FFB0C4CC"/>
      </right>
      <top style="thin">
        <color rgb="FFB0C4CC"/>
      </top>
      <bottom/>
      <diagonal/>
    </border>
    <border>
      <left/>
      <right style="thin">
        <color rgb="FFB0C4CC"/>
      </right>
      <top/>
      <bottom/>
      <diagonal/>
    </border>
    <border>
      <left style="thin">
        <color rgb="FFB0C4CC"/>
      </left>
      <right/>
      <top/>
      <bottom style="thin">
        <color rgb="FFB0C4CC"/>
      </bottom>
      <diagonal/>
    </border>
    <border>
      <left/>
      <right style="thin">
        <color rgb="FFB0C4CC"/>
      </right>
      <top/>
      <bottom style="thin">
        <color rgb="FFB0C4CC"/>
      </bottom>
      <diagonal/>
    </border>
    <border>
      <left/>
      <right/>
      <top style="thin">
        <color rgb="FFB0C4CC"/>
      </top>
      <bottom style="thin">
        <color rgb="FFB0C4CC"/>
      </bottom>
      <diagonal/>
    </border>
    <border>
      <left/>
      <right style="thin">
        <color rgb="FFB0C4CC"/>
      </right>
      <top style="thin">
        <color rgb="FFB0C4CC"/>
      </top>
      <bottom style="thin">
        <color rgb="FFB0C4CC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164" fontId="8" fillId="6" borderId="4" xfId="0" applyNumberFormat="1" applyFont="1" applyFill="1" applyBorder="1" applyAlignment="1">
      <alignment horizontal="center" vertical="center"/>
    </xf>
    <xf numFmtId="164" fontId="9" fillId="6" borderId="4" xfId="0" applyNumberFormat="1" applyFont="1" applyFill="1" applyBorder="1" applyAlignment="1">
      <alignment horizontal="center" vertical="center"/>
    </xf>
    <xf numFmtId="1" fontId="10" fillId="8" borderId="4" xfId="0" applyNumberFormat="1" applyFont="1" applyFill="1" applyBorder="1" applyAlignment="1">
      <alignment horizontal="center" vertical="center"/>
    </xf>
    <xf numFmtId="9" fontId="9" fillId="6" borderId="4" xfId="0" applyNumberFormat="1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/>
    </xf>
    <xf numFmtId="164" fontId="8" fillId="6" borderId="7" xfId="0" applyNumberFormat="1" applyFont="1" applyFill="1" applyBorder="1" applyAlignment="1">
      <alignment horizontal="center" vertical="center"/>
    </xf>
    <xf numFmtId="164" fontId="9" fillId="6" borderId="7" xfId="0" applyNumberFormat="1" applyFont="1" applyFill="1" applyBorder="1" applyAlignment="1">
      <alignment horizontal="center" vertical="center"/>
    </xf>
    <xf numFmtId="1" fontId="10" fillId="8" borderId="7" xfId="0" applyNumberFormat="1" applyFont="1" applyFill="1" applyBorder="1" applyAlignment="1">
      <alignment horizontal="center" vertical="center"/>
    </xf>
    <xf numFmtId="9" fontId="9" fillId="6" borderId="7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3" fillId="5" borderId="9" xfId="0" applyFont="1" applyFill="1" applyBorder="1" applyAlignment="1">
      <alignment horizontal="right" vertical="center"/>
    </xf>
    <xf numFmtId="0" fontId="14" fillId="11" borderId="10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 wrapText="1"/>
    </xf>
    <xf numFmtId="1" fontId="14" fillId="12" borderId="4" xfId="0" applyNumberFormat="1" applyFont="1" applyFill="1" applyBorder="1" applyAlignment="1">
      <alignment horizontal="center" vertical="center"/>
    </xf>
    <xf numFmtId="0" fontId="18" fillId="12" borderId="6" xfId="0" applyFont="1" applyFill="1" applyBorder="1" applyAlignment="1">
      <alignment horizontal="center" vertical="center" wrapText="1"/>
    </xf>
    <xf numFmtId="1" fontId="14" fillId="12" borderId="7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left" vertical="center"/>
    </xf>
    <xf numFmtId="0" fontId="11" fillId="12" borderId="6" xfId="0" applyFont="1" applyFill="1" applyBorder="1" applyAlignment="1">
      <alignment horizontal="left" vertical="center"/>
    </xf>
    <xf numFmtId="0" fontId="17" fillId="13" borderId="18" xfId="0" applyFont="1" applyFill="1" applyBorder="1" applyAlignment="1">
      <alignment horizontal="center" vertical="center"/>
    </xf>
    <xf numFmtId="0" fontId="17" fillId="13" borderId="19" xfId="0" applyFont="1" applyFill="1" applyBorder="1" applyAlignment="1">
      <alignment horizontal="center" vertical="center"/>
    </xf>
    <xf numFmtId="0" fontId="17" fillId="13" borderId="20" xfId="0" applyFont="1" applyFill="1" applyBorder="1" applyAlignment="1">
      <alignment horizontal="center" vertical="center"/>
    </xf>
    <xf numFmtId="0" fontId="17" fillId="7" borderId="21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1" fontId="23" fillId="12" borderId="4" xfId="0" applyNumberFormat="1" applyFont="1" applyFill="1" applyBorder="1" applyAlignment="1">
      <alignment horizontal="center" vertical="center"/>
    </xf>
    <xf numFmtId="9" fontId="17" fillId="12" borderId="4" xfId="0" applyNumberFormat="1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left" vertical="center"/>
    </xf>
    <xf numFmtId="0" fontId="11" fillId="14" borderId="4" xfId="0" applyFont="1" applyFill="1" applyBorder="1" applyAlignment="1">
      <alignment horizontal="center" vertical="center"/>
    </xf>
    <xf numFmtId="0" fontId="17" fillId="14" borderId="4" xfId="0" applyFont="1" applyFill="1" applyBorder="1" applyAlignment="1">
      <alignment horizontal="center" vertical="center"/>
    </xf>
    <xf numFmtId="1" fontId="23" fillId="14" borderId="4" xfId="0" applyNumberFormat="1" applyFont="1" applyFill="1" applyBorder="1" applyAlignment="1">
      <alignment horizontal="center" vertical="center"/>
    </xf>
    <xf numFmtId="9" fontId="17" fillId="14" borderId="4" xfId="0" applyNumberFormat="1" applyFont="1" applyFill="1" applyBorder="1" applyAlignment="1">
      <alignment horizontal="center" vertical="center"/>
    </xf>
    <xf numFmtId="0" fontId="17" fillId="14" borderId="5" xfId="0" applyFont="1" applyFill="1" applyBorder="1" applyAlignment="1">
      <alignment horizontal="center" vertical="center"/>
    </xf>
    <xf numFmtId="0" fontId="17" fillId="7" borderId="6" xfId="0" applyFont="1" applyFill="1" applyBorder="1" applyAlignment="1">
      <alignment horizontal="center" vertical="center"/>
    </xf>
    <xf numFmtId="0" fontId="19" fillId="12" borderId="7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1" fontId="23" fillId="12" borderId="7" xfId="0" applyNumberFormat="1" applyFont="1" applyFill="1" applyBorder="1" applyAlignment="1">
      <alignment horizontal="center" vertical="center"/>
    </xf>
    <xf numFmtId="9" fontId="17" fillId="12" borderId="7" xfId="0" applyNumberFormat="1" applyFont="1" applyFill="1" applyBorder="1" applyAlignment="1">
      <alignment horizontal="center" vertical="center"/>
    </xf>
    <xf numFmtId="0" fontId="17" fillId="12" borderId="22" xfId="0" applyFont="1" applyFill="1" applyBorder="1" applyAlignment="1">
      <alignment horizontal="center" vertical="center"/>
    </xf>
    <xf numFmtId="0" fontId="0" fillId="0" borderId="0" xfId="0"/>
    <xf numFmtId="0" fontId="17" fillId="12" borderId="5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30" fillId="16" borderId="0" xfId="0" applyFont="1" applyFill="1" applyAlignment="1">
      <alignment horizontal="left" vertical="center"/>
    </xf>
    <xf numFmtId="0" fontId="31" fillId="18" borderId="0" xfId="0" applyFont="1" applyFill="1" applyAlignment="1">
      <alignment horizontal="left" vertical="center" wrapText="1"/>
    </xf>
    <xf numFmtId="0" fontId="32" fillId="15" borderId="34" xfId="0" applyFont="1" applyFill="1" applyBorder="1" applyAlignment="1">
      <alignment horizontal="center" vertical="center" wrapText="1"/>
    </xf>
    <xf numFmtId="0" fontId="33" fillId="0" borderId="34" xfId="0" applyFont="1" applyBorder="1" applyAlignment="1">
      <alignment horizontal="left" vertical="center"/>
    </xf>
    <xf numFmtId="165" fontId="33" fillId="0" borderId="34" xfId="0" applyNumberFormat="1" applyFont="1" applyBorder="1" applyAlignment="1">
      <alignment horizontal="left" vertical="center"/>
    </xf>
    <xf numFmtId="1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left" vertical="center"/>
    </xf>
    <xf numFmtId="166" fontId="33" fillId="0" borderId="34" xfId="0" applyNumberFormat="1" applyFont="1" applyBorder="1" applyAlignment="1">
      <alignment horizontal="left" vertical="center"/>
    </xf>
    <xf numFmtId="0" fontId="30" fillId="16" borderId="0" xfId="0" applyFont="1" applyFill="1" applyAlignment="1">
      <alignment horizontal="center" vertical="center"/>
    </xf>
    <xf numFmtId="0" fontId="31" fillId="16" borderId="0" xfId="0" applyFont="1" applyFill="1" applyAlignment="1">
      <alignment horizontal="left" vertical="center"/>
    </xf>
    <xf numFmtId="0" fontId="30" fillId="18" borderId="0" xfId="0" applyFont="1" applyFill="1" applyAlignment="1">
      <alignment horizontal="center" vertical="center"/>
    </xf>
    <xf numFmtId="0" fontId="31" fillId="18" borderId="0" xfId="0" applyFont="1" applyFill="1" applyAlignment="1">
      <alignment horizontal="left" vertical="center"/>
    </xf>
    <xf numFmtId="0" fontId="39" fillId="19" borderId="34" xfId="0" applyFont="1" applyFill="1" applyBorder="1" applyAlignment="1">
      <alignment horizontal="center" vertical="center"/>
    </xf>
    <xf numFmtId="0" fontId="40" fillId="20" borderId="34" xfId="0" applyFont="1" applyFill="1" applyBorder="1" applyAlignment="1">
      <alignment horizontal="center" vertical="center"/>
    </xf>
    <xf numFmtId="0" fontId="40" fillId="20" borderId="34" xfId="0" applyFont="1" applyFill="1" applyBorder="1" applyAlignment="1">
      <alignment horizontal="left" vertical="center" wrapText="1"/>
    </xf>
    <xf numFmtId="164" fontId="40" fillId="20" borderId="34" xfId="0" applyNumberFormat="1" applyFont="1" applyFill="1" applyBorder="1" applyAlignment="1">
      <alignment horizontal="center" vertical="center"/>
    </xf>
    <xf numFmtId="0" fontId="41" fillId="19" borderId="34" xfId="0" applyFont="1" applyFill="1" applyBorder="1" applyAlignment="1">
      <alignment horizontal="center" vertical="center"/>
    </xf>
    <xf numFmtId="167" fontId="41" fillId="20" borderId="34" xfId="0" applyNumberFormat="1" applyFont="1" applyFill="1" applyBorder="1" applyAlignment="1">
      <alignment horizontal="center" vertical="center"/>
    </xf>
    <xf numFmtId="0" fontId="42" fillId="19" borderId="34" xfId="0" applyFont="1" applyFill="1" applyBorder="1" applyAlignment="1">
      <alignment horizontal="center" vertical="center"/>
    </xf>
    <xf numFmtId="0" fontId="43" fillId="19" borderId="34" xfId="0" applyFont="1" applyFill="1" applyBorder="1" applyAlignment="1">
      <alignment horizontal="left" vertical="center"/>
    </xf>
    <xf numFmtId="167" fontId="44" fillId="16" borderId="34" xfId="0" applyNumberFormat="1" applyFont="1" applyFill="1" applyBorder="1" applyAlignment="1">
      <alignment horizontal="center" vertical="center"/>
    </xf>
    <xf numFmtId="0" fontId="33" fillId="22" borderId="34" xfId="0" applyFont="1" applyFill="1" applyBorder="1" applyAlignment="1">
      <alignment horizontal="left" vertical="center"/>
    </xf>
    <xf numFmtId="0" fontId="47" fillId="0" borderId="34" xfId="0" applyFont="1" applyBorder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0" fontId="0" fillId="0" borderId="0" xfId="0"/>
    <xf numFmtId="0" fontId="27" fillId="15" borderId="0" xfId="0" applyFont="1" applyFill="1" applyAlignment="1">
      <alignment horizontal="center" vertical="center"/>
    </xf>
    <xf numFmtId="0" fontId="28" fillId="16" borderId="0" xfId="0" applyFont="1" applyFill="1" applyAlignment="1">
      <alignment horizontal="center" vertical="center"/>
    </xf>
    <xf numFmtId="0" fontId="46" fillId="21" borderId="0" xfId="0" applyFont="1" applyFill="1" applyAlignment="1">
      <alignment horizontal="left" vertical="center"/>
    </xf>
    <xf numFmtId="0" fontId="34" fillId="15" borderId="0" xfId="0" applyFont="1" applyFill="1" applyAlignment="1">
      <alignment horizontal="center" vertical="center"/>
    </xf>
    <xf numFmtId="0" fontId="37" fillId="15" borderId="0" xfId="0" applyFont="1" applyFill="1" applyAlignment="1">
      <alignment horizontal="left" vertical="center"/>
    </xf>
    <xf numFmtId="0" fontId="35" fillId="16" borderId="0" xfId="0" applyFont="1" applyFill="1" applyAlignment="1">
      <alignment horizontal="center" vertical="center"/>
    </xf>
    <xf numFmtId="0" fontId="36" fillId="17" borderId="34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1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3" fillId="5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10" borderId="0" xfId="0" applyFill="1"/>
    <xf numFmtId="0" fontId="17" fillId="12" borderId="6" xfId="0" applyFont="1" applyFill="1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19" fillId="12" borderId="14" xfId="0" applyFont="1" applyFill="1" applyBorder="1" applyAlignment="1">
      <alignment horizontal="right" vertical="center" wrapText="1"/>
    </xf>
    <xf numFmtId="0" fontId="0" fillId="0" borderId="14" xfId="0" applyBorder="1"/>
    <xf numFmtId="0" fontId="17" fillId="12" borderId="5" xfId="0" applyFont="1" applyFill="1" applyBorder="1" applyAlignment="1">
      <alignment horizontal="center" vertical="center"/>
    </xf>
    <xf numFmtId="0" fontId="0" fillId="0" borderId="31" xfId="0" applyBorder="1"/>
    <xf numFmtId="0" fontId="0" fillId="0" borderId="15" xfId="0" applyBorder="1"/>
    <xf numFmtId="0" fontId="17" fillId="11" borderId="1" xfId="0" applyFont="1" applyFill="1" applyBorder="1" applyAlignment="1">
      <alignment horizontal="center" vertical="center"/>
    </xf>
    <xf numFmtId="0" fontId="0" fillId="0" borderId="30" xfId="0" applyBorder="1"/>
    <xf numFmtId="0" fontId="20" fillId="12" borderId="7" xfId="0" applyFont="1" applyFill="1" applyBorder="1" applyAlignment="1">
      <alignment horizontal="center" vertical="center"/>
    </xf>
    <xf numFmtId="0" fontId="24" fillId="12" borderId="23" xfId="0" applyFont="1" applyFill="1" applyBorder="1" applyAlignment="1">
      <alignment horizontal="right" vertical="center"/>
    </xf>
    <xf numFmtId="0" fontId="21" fillId="5" borderId="5" xfId="0" applyFont="1" applyFill="1" applyBorder="1" applyAlignment="1">
      <alignment horizontal="left" vertical="center"/>
    </xf>
    <xf numFmtId="0" fontId="19" fillId="12" borderId="7" xfId="0" applyFont="1" applyFill="1" applyBorder="1" applyAlignment="1">
      <alignment horizontal="right" vertical="center"/>
    </xf>
    <xf numFmtId="0" fontId="26" fillId="4" borderId="0" xfId="0" applyFont="1" applyFill="1" applyAlignment="1">
      <alignment horizontal="center" vertical="center"/>
    </xf>
    <xf numFmtId="0" fontId="17" fillId="12" borderId="24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left" vertical="center"/>
    </xf>
    <xf numFmtId="0" fontId="25" fillId="12" borderId="24" xfId="0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0" fontId="22" fillId="5" borderId="14" xfId="0" applyFont="1" applyFill="1" applyBorder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0" fontId="19" fillId="5" borderId="14" xfId="0" applyFont="1" applyFill="1" applyBorder="1" applyAlignment="1">
      <alignment horizontal="right" vertical="center"/>
    </xf>
    <xf numFmtId="0" fontId="20" fillId="12" borderId="15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left" vertical="center"/>
    </xf>
    <xf numFmtId="0" fontId="0" fillId="0" borderId="27" xfId="0" applyBorder="1"/>
    <xf numFmtId="0" fontId="0" fillId="0" borderId="11" xfId="0" applyBorder="1"/>
    <xf numFmtId="0" fontId="19" fillId="12" borderId="7" xfId="0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36" fillId="15" borderId="0" xfId="0" applyFont="1" applyFill="1" applyAlignment="1">
      <alignment horizontal="center" vertical="center"/>
    </xf>
    <xf numFmtId="0" fontId="37" fillId="15" borderId="34" xfId="0" applyFont="1" applyFill="1" applyBorder="1" applyAlignment="1">
      <alignment horizontal="right" vertical="center"/>
    </xf>
    <xf numFmtId="0" fontId="0" fillId="0" borderId="40" xfId="0" applyBorder="1"/>
    <xf numFmtId="0" fontId="0" fillId="0" borderId="41" xfId="0" applyBorder="1"/>
    <xf numFmtId="0" fontId="45" fillId="16" borderId="34" xfId="0" applyFont="1" applyFill="1" applyBorder="1" applyAlignment="1">
      <alignment horizontal="center" vertical="center"/>
    </xf>
    <xf numFmtId="0" fontId="38" fillId="16" borderId="0" xfId="0" applyFont="1" applyFill="1" applyAlignment="1">
      <alignment horizontal="center" vertical="center"/>
    </xf>
  </cellXfs>
  <cellStyles count="1">
    <cellStyle name="Normal" xfId="0" builtinId="0"/>
  </cellStyles>
  <dxfs count="54"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0"/>
        <color rgb="FF991B1B"/>
        <name val="Arial"/>
        <charset val="1"/>
      </font>
      <fill>
        <patternFill>
          <bgColor rgb="FFFEF2F2"/>
        </patternFill>
      </fill>
    </dxf>
    <dxf>
      <font>
        <b/>
        <sz val="10"/>
        <color rgb="FF78350F"/>
        <name val="Arial"/>
        <charset val="1"/>
      </font>
      <fill>
        <patternFill>
          <bgColor rgb="FFFFFBEB"/>
        </patternFill>
      </fill>
    </dxf>
    <dxf>
      <font>
        <b/>
        <sz val="10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  <dxf>
      <font>
        <b/>
        <sz val="11"/>
        <color rgb="FF991B1B"/>
        <name val="Arial"/>
        <charset val="1"/>
      </font>
      <fill>
        <patternFill>
          <bgColor rgb="FFFEF2F2"/>
        </patternFill>
      </fill>
    </dxf>
    <dxf>
      <font>
        <b/>
        <sz val="11"/>
        <color rgb="FF78350F"/>
        <name val="Arial"/>
        <charset val="1"/>
      </font>
      <fill>
        <patternFill>
          <bgColor rgb="FFFFFBEB"/>
        </patternFill>
      </fill>
    </dxf>
    <dxf>
      <font>
        <b/>
        <sz val="11"/>
        <color rgb="FF166534"/>
        <name val="Arial"/>
        <charset val="1"/>
      </font>
      <fill>
        <patternFill>
          <bgColor rgb="FFF0FDF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EF2F2"/>
      <rgbColor rgb="FFFF00FF"/>
      <rgbColor rgb="FF00FFFF"/>
      <rgbColor rgb="FF991B1B"/>
      <rgbColor rgb="FF166534"/>
      <rgbColor rgb="FF000080"/>
      <rgbColor rgb="FF808000"/>
      <rgbColor rgb="FF800080"/>
      <rgbColor rgb="FF0B8FA0"/>
      <rgbColor rgb="FFBEC9D8"/>
      <rgbColor rgb="FF6E8097"/>
      <rgbColor rgb="FF97A8BC"/>
      <rgbColor rgb="FF993366"/>
      <rgbColor rgb="FFFFFBEB"/>
      <rgbColor rgb="FFDFF4F7"/>
      <rgbColor rgb="FF660066"/>
      <rgbColor rgb="FFFF8080"/>
      <rgbColor rgb="FF0066CC"/>
      <rgbColor rgb="FFD9E2F3"/>
      <rgbColor rgb="FF000080"/>
      <rgbColor rgb="FFFF00FF"/>
      <rgbColor rgb="FFEEF2F7"/>
      <rgbColor rgb="FF00FFFF"/>
      <rgbColor rgb="FF800080"/>
      <rgbColor rgb="FF800000"/>
      <rgbColor rgb="FF008080"/>
      <rgbColor rgb="FF0000FF"/>
      <rgbColor rgb="FF00CCFF"/>
      <rgbColor rgb="FFF0FDF4"/>
      <rgbColor rgb="FFE2E8F0"/>
      <rgbColor rgb="FFFFEB9C"/>
      <rgbColor rgb="FFDCE5F0"/>
      <rgbColor rgb="FFE7E6E6"/>
      <rgbColor rgb="FFEDF0F5"/>
      <rgbColor rgb="FFFCD34D"/>
      <rgbColor rgb="FF3366FF"/>
      <rgbColor rgb="FF33CCCC"/>
      <rgbColor rgb="FF99CC00"/>
      <rgbColor rgb="FFF4F7FC"/>
      <rgbColor rgb="FFC9A84C"/>
      <rgbColor rgb="FFFF6600"/>
      <rgbColor rgb="FF7A8FA8"/>
      <rgbColor rgb="FFA5A5A5"/>
      <rgbColor rgb="FF003366"/>
      <rgbColor rgb="FF339966"/>
      <rgbColor rgb="FF0F1824"/>
      <rgbColor rgb="FF333300"/>
      <rgbColor rgb="FF78350F"/>
      <rgbColor rgb="FF993366"/>
      <rgbColor rgb="FF3A4F66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18"/>
  <sheetViews>
    <sheetView showGridLines="0" workbookViewId="0"/>
  </sheetViews>
  <sheetFormatPr baseColWidth="10" defaultColWidth="8.7265625" defaultRowHeight="14.5" x14ac:dyDescent="0.35"/>
  <cols>
    <col min="1" max="1" width="2" style="47" customWidth="1"/>
    <col min="2" max="2" width="35" style="47" customWidth="1"/>
    <col min="3" max="3" width="60" style="47" customWidth="1"/>
    <col min="4" max="4" width="20" style="47" customWidth="1"/>
  </cols>
  <sheetData>
    <row r="1" spans="2:4" ht="40" customHeight="1" x14ac:dyDescent="0.35">
      <c r="B1" s="75" t="s">
        <v>0</v>
      </c>
      <c r="C1" s="74"/>
      <c r="D1" s="74"/>
    </row>
    <row r="2" spans="2:4" ht="22" customHeight="1" x14ac:dyDescent="0.35">
      <c r="B2" s="76" t="s">
        <v>1</v>
      </c>
      <c r="C2" s="74"/>
      <c r="D2" s="74"/>
    </row>
    <row r="4" spans="2:4" ht="22" customHeight="1" x14ac:dyDescent="0.35"/>
    <row r="5" spans="2:4" ht="22" customHeight="1" x14ac:dyDescent="0.35">
      <c r="B5" s="73" t="s">
        <v>2</v>
      </c>
      <c r="C5" s="74"/>
      <c r="D5" s="74"/>
    </row>
    <row r="6" spans="2:4" ht="22" customHeight="1" x14ac:dyDescent="0.35">
      <c r="B6" s="50" t="s">
        <v>3</v>
      </c>
      <c r="C6" s="51" t="s">
        <v>4</v>
      </c>
    </row>
    <row r="7" spans="2:4" ht="22" customHeight="1" x14ac:dyDescent="0.35">
      <c r="B7" s="50" t="s">
        <v>5</v>
      </c>
      <c r="C7" s="51" t="s">
        <v>6</v>
      </c>
    </row>
    <row r="8" spans="2:4" ht="22" customHeight="1" x14ac:dyDescent="0.35">
      <c r="B8" s="50" t="s">
        <v>7</v>
      </c>
      <c r="C8" s="51" t="s">
        <v>8</v>
      </c>
    </row>
    <row r="9" spans="2:4" ht="22" customHeight="1" x14ac:dyDescent="0.35">
      <c r="B9" s="50" t="s">
        <v>9</v>
      </c>
      <c r="C9" s="51" t="s">
        <v>10</v>
      </c>
    </row>
    <row r="10" spans="2:4" ht="22" customHeight="1" x14ac:dyDescent="0.35"/>
    <row r="11" spans="2:4" ht="22" customHeight="1" x14ac:dyDescent="0.35">
      <c r="B11" s="73" t="s">
        <v>11</v>
      </c>
      <c r="C11" s="74"/>
      <c r="D11" s="74"/>
    </row>
    <row r="12" spans="2:4" ht="22" customHeight="1" x14ac:dyDescent="0.35">
      <c r="B12" s="50" t="s">
        <v>12</v>
      </c>
      <c r="C12" s="51" t="s">
        <v>13</v>
      </c>
    </row>
    <row r="13" spans="2:4" ht="22" customHeight="1" x14ac:dyDescent="0.35">
      <c r="B13" s="50" t="s">
        <v>14</v>
      </c>
      <c r="C13" s="51" t="s">
        <v>15</v>
      </c>
    </row>
    <row r="14" spans="2:4" ht="22" customHeight="1" x14ac:dyDescent="0.35">
      <c r="B14" s="50" t="s">
        <v>16</v>
      </c>
      <c r="C14" s="51" t="s">
        <v>17</v>
      </c>
    </row>
    <row r="15" spans="2:4" ht="22" customHeight="1" x14ac:dyDescent="0.35">
      <c r="B15" s="50" t="s">
        <v>18</v>
      </c>
      <c r="C15" s="51" t="s">
        <v>19</v>
      </c>
    </row>
    <row r="16" spans="2:4" ht="22" customHeight="1" x14ac:dyDescent="0.35"/>
    <row r="17" spans="2:3" ht="22" customHeight="1" x14ac:dyDescent="0.35">
      <c r="B17" s="50" t="s">
        <v>20</v>
      </c>
      <c r="C17" s="51" t="s">
        <v>21</v>
      </c>
    </row>
    <row r="18" spans="2:3" ht="22" customHeight="1" x14ac:dyDescent="0.35">
      <c r="B18" s="50" t="s">
        <v>22</v>
      </c>
      <c r="C18" s="51" t="s">
        <v>23</v>
      </c>
    </row>
  </sheetData>
  <mergeCells count="4">
    <mergeCell ref="B11:D11"/>
    <mergeCell ref="B1:D1"/>
    <mergeCell ref="B5:D5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C35"/>
  <sheetViews>
    <sheetView showGridLines="0" zoomScaleNormal="100" workbookViewId="0">
      <pane ySplit="1" topLeftCell="A2" activePane="bottomLeft" state="frozen"/>
      <selection pane="bottomLeft" activeCell="A2" sqref="A2:A29"/>
    </sheetView>
  </sheetViews>
  <sheetFormatPr baseColWidth="10" defaultColWidth="8.6328125" defaultRowHeight="14.5" x14ac:dyDescent="0.35"/>
  <cols>
    <col min="1" max="1" width="6" style="47" customWidth="1"/>
    <col min="2" max="2" width="14" style="47" customWidth="1"/>
    <col min="3" max="3" width="28" style="47" customWidth="1"/>
    <col min="4" max="4" width="16" style="47" customWidth="1"/>
    <col min="5" max="5" width="30" style="47" customWidth="1"/>
    <col min="6" max="6" width="50" style="47" customWidth="1"/>
    <col min="7" max="7" width="10" style="47" customWidth="1"/>
    <col min="8" max="8" width="30" style="47" customWidth="1"/>
    <col min="9" max="9" width="20" style="47" bestFit="1" customWidth="1"/>
    <col min="10" max="11" width="15" style="47" customWidth="1"/>
    <col min="12" max="13" width="22" style="47" customWidth="1"/>
    <col min="14" max="14" width="12" style="47" customWidth="1"/>
    <col min="15" max="15" width="18" style="47" customWidth="1"/>
    <col min="16" max="16" width="14" style="47" customWidth="1"/>
    <col min="17" max="17" width="18" style="47" customWidth="1"/>
    <col min="18" max="18" width="18" style="47" bestFit="1" customWidth="1"/>
    <col min="19" max="19" width="14" style="47" customWidth="1"/>
    <col min="20" max="20" width="20" style="47" customWidth="1"/>
    <col min="21" max="21" width="20" style="47" bestFit="1" customWidth="1"/>
    <col min="22" max="22" width="14" style="47" customWidth="1"/>
    <col min="23" max="23" width="20" style="47" bestFit="1" customWidth="1"/>
    <col min="24" max="24" width="20" style="47" customWidth="1"/>
    <col min="25" max="25" width="22" style="47" customWidth="1"/>
    <col min="26" max="26" width="20" style="47" customWidth="1"/>
    <col min="27" max="27" width="25" style="47" customWidth="1"/>
    <col min="28" max="29" width="22" style="47" customWidth="1"/>
  </cols>
  <sheetData>
    <row r="1" spans="1:29" ht="45" customHeight="1" x14ac:dyDescent="0.35">
      <c r="A1" s="52" t="s">
        <v>24</v>
      </c>
      <c r="B1" s="52" t="s">
        <v>25</v>
      </c>
      <c r="C1" s="52" t="s">
        <v>26</v>
      </c>
      <c r="D1" s="52" t="s">
        <v>27</v>
      </c>
      <c r="E1" s="52" t="s">
        <v>28</v>
      </c>
      <c r="F1" s="52" t="s">
        <v>29</v>
      </c>
      <c r="G1" s="52" t="s">
        <v>30</v>
      </c>
      <c r="H1" s="52" t="s">
        <v>31</v>
      </c>
      <c r="I1" s="52" t="s">
        <v>32</v>
      </c>
      <c r="J1" s="52" t="s">
        <v>33</v>
      </c>
      <c r="K1" s="52" t="s">
        <v>34</v>
      </c>
      <c r="L1" s="52" t="s">
        <v>35</v>
      </c>
      <c r="M1" s="52" t="s">
        <v>36</v>
      </c>
      <c r="N1" s="52" t="s">
        <v>37</v>
      </c>
      <c r="O1" s="52" t="s">
        <v>38</v>
      </c>
      <c r="P1" s="52" t="s">
        <v>39</v>
      </c>
      <c r="Q1" s="52" t="s">
        <v>40</v>
      </c>
      <c r="R1" s="52" t="s">
        <v>41</v>
      </c>
      <c r="S1" s="52" t="s">
        <v>42</v>
      </c>
      <c r="T1" s="52" t="s">
        <v>43</v>
      </c>
      <c r="U1" s="52" t="s">
        <v>44</v>
      </c>
      <c r="V1" s="52" t="s">
        <v>45</v>
      </c>
      <c r="W1" s="52" t="s">
        <v>46</v>
      </c>
      <c r="X1" s="52" t="s">
        <v>47</v>
      </c>
      <c r="Y1" s="52" t="s">
        <v>48</v>
      </c>
      <c r="Z1" s="52" t="s">
        <v>49</v>
      </c>
      <c r="AA1" s="52" t="s">
        <v>50</v>
      </c>
      <c r="AB1" s="52" t="s">
        <v>51</v>
      </c>
      <c r="AC1" s="52" t="s">
        <v>52</v>
      </c>
    </row>
    <row r="2" spans="1:29" ht="41.25" customHeight="1" x14ac:dyDescent="0.35">
      <c r="A2" s="72" t="s">
        <v>53</v>
      </c>
      <c r="B2" s="53" t="s">
        <v>54</v>
      </c>
      <c r="C2" s="53" t="s">
        <v>225</v>
      </c>
      <c r="D2" s="53" t="s">
        <v>527</v>
      </c>
      <c r="E2" s="53" t="s">
        <v>529</v>
      </c>
      <c r="F2" s="53" t="s">
        <v>56</v>
      </c>
      <c r="G2" s="53">
        <v>7</v>
      </c>
      <c r="H2" s="53" t="s">
        <v>57</v>
      </c>
      <c r="I2" s="71">
        <v>15000000</v>
      </c>
      <c r="J2" s="71">
        <v>0</v>
      </c>
      <c r="K2" s="71">
        <v>0</v>
      </c>
      <c r="L2" s="71">
        <v>15000000</v>
      </c>
      <c r="M2" s="71">
        <v>15000000</v>
      </c>
      <c r="N2" s="71">
        <v>3.3422432943190902E-2</v>
      </c>
      <c r="O2" s="54">
        <v>46162</v>
      </c>
      <c r="P2" s="53">
        <v>65</v>
      </c>
      <c r="Q2" s="55">
        <v>46260</v>
      </c>
      <c r="R2" s="56">
        <v>46175</v>
      </c>
      <c r="S2" s="53">
        <v>74</v>
      </c>
      <c r="T2" s="55">
        <v>46195</v>
      </c>
      <c r="U2" s="55">
        <v>46195</v>
      </c>
      <c r="V2" s="53">
        <v>88</v>
      </c>
      <c r="W2" s="55">
        <v>46243</v>
      </c>
      <c r="X2" s="55">
        <v>46280</v>
      </c>
      <c r="Y2" s="53" t="s">
        <v>147</v>
      </c>
      <c r="Z2" s="53" t="s">
        <v>118</v>
      </c>
      <c r="AA2" s="53" t="s">
        <v>76</v>
      </c>
      <c r="AB2" s="53" t="s">
        <v>147</v>
      </c>
      <c r="AC2" s="53" t="s">
        <v>226</v>
      </c>
    </row>
    <row r="3" spans="1:29" ht="15" customHeight="1" x14ac:dyDescent="0.35">
      <c r="A3" s="72" t="s">
        <v>58</v>
      </c>
      <c r="B3" s="53" t="s">
        <v>54</v>
      </c>
      <c r="C3" s="53" t="s">
        <v>198</v>
      </c>
      <c r="D3" s="53" t="s">
        <v>528</v>
      </c>
      <c r="E3" s="53" t="s">
        <v>530</v>
      </c>
      <c r="F3" s="53" t="s">
        <v>200</v>
      </c>
      <c r="G3" s="53">
        <v>6</v>
      </c>
      <c r="H3" s="53" t="s">
        <v>201</v>
      </c>
      <c r="I3" s="71">
        <v>2175194438</v>
      </c>
      <c r="J3" s="71">
        <v>0</v>
      </c>
      <c r="K3" s="71">
        <v>0</v>
      </c>
      <c r="L3" s="71">
        <v>2175194438</v>
      </c>
      <c r="M3" s="71">
        <v>2175194438</v>
      </c>
      <c r="N3" s="71">
        <v>0.16623244528311801</v>
      </c>
      <c r="O3" s="54">
        <v>46191</v>
      </c>
      <c r="P3" s="53">
        <v>86</v>
      </c>
      <c r="Q3" s="55">
        <v>46126</v>
      </c>
      <c r="R3" s="56">
        <v>46204</v>
      </c>
      <c r="S3" s="53">
        <v>95</v>
      </c>
      <c r="T3" s="55">
        <v>46224</v>
      </c>
      <c r="U3" s="55">
        <v>46224</v>
      </c>
      <c r="V3" s="53">
        <v>109</v>
      </c>
      <c r="W3" s="55">
        <v>46357</v>
      </c>
      <c r="X3" s="55">
        <v>46146</v>
      </c>
      <c r="Y3" s="53" t="s">
        <v>537</v>
      </c>
      <c r="Z3" s="53" t="s">
        <v>65</v>
      </c>
      <c r="AA3" s="53" t="s">
        <v>538</v>
      </c>
      <c r="AB3" s="53"/>
      <c r="AC3" s="53"/>
    </row>
    <row r="4" spans="1:29" ht="15" customHeight="1" x14ac:dyDescent="0.35">
      <c r="A4" s="72" t="s">
        <v>69</v>
      </c>
      <c r="B4" s="53" t="s">
        <v>54</v>
      </c>
      <c r="C4" s="53" t="s">
        <v>524</v>
      </c>
      <c r="D4" s="53" t="s">
        <v>55</v>
      </c>
      <c r="E4" s="53" t="s">
        <v>139</v>
      </c>
      <c r="F4" s="53" t="s">
        <v>531</v>
      </c>
      <c r="G4" s="53">
        <v>2</v>
      </c>
      <c r="H4" s="53" t="s">
        <v>57</v>
      </c>
      <c r="I4" s="71">
        <v>120000000</v>
      </c>
      <c r="J4" s="71">
        <v>0</v>
      </c>
      <c r="K4" s="71">
        <v>420648972</v>
      </c>
      <c r="L4" s="71">
        <v>120000000</v>
      </c>
      <c r="M4" s="71">
        <v>120000000</v>
      </c>
      <c r="N4" s="71">
        <v>5.85054596384069E-2</v>
      </c>
      <c r="O4" s="54">
        <v>46049</v>
      </c>
      <c r="P4" s="53">
        <v>-18</v>
      </c>
      <c r="Q4" s="55">
        <v>46134</v>
      </c>
      <c r="R4" s="56">
        <v>46060</v>
      </c>
      <c r="S4" s="53">
        <v>-9</v>
      </c>
      <c r="T4" s="55">
        <v>46080</v>
      </c>
      <c r="U4" s="55">
        <v>46080</v>
      </c>
      <c r="V4" s="53">
        <v>7</v>
      </c>
      <c r="W4" s="55">
        <v>46136</v>
      </c>
      <c r="X4" s="55">
        <v>46154</v>
      </c>
      <c r="Y4" s="53" t="s">
        <v>90</v>
      </c>
      <c r="Z4" s="53" t="s">
        <v>65</v>
      </c>
      <c r="AA4" s="53" t="s">
        <v>539</v>
      </c>
      <c r="AB4" s="53" t="s">
        <v>90</v>
      </c>
      <c r="AC4" s="53"/>
    </row>
    <row r="5" spans="1:29" ht="15" customHeight="1" x14ac:dyDescent="0.35">
      <c r="A5" s="72" t="s">
        <v>78</v>
      </c>
      <c r="B5" s="53" t="s">
        <v>54</v>
      </c>
      <c r="C5" s="53" t="s">
        <v>59</v>
      </c>
      <c r="D5" s="53" t="s">
        <v>60</v>
      </c>
      <c r="E5" s="53" t="s">
        <v>61</v>
      </c>
      <c r="F5" s="53" t="s">
        <v>62</v>
      </c>
      <c r="G5" s="53">
        <v>4</v>
      </c>
      <c r="H5" s="53" t="s">
        <v>63</v>
      </c>
      <c r="I5" s="71">
        <v>479157000</v>
      </c>
      <c r="J5" s="71">
        <v>0</v>
      </c>
      <c r="K5" s="71">
        <v>0</v>
      </c>
      <c r="L5" s="71">
        <v>479157000</v>
      </c>
      <c r="M5" s="71">
        <v>479157000</v>
      </c>
      <c r="N5" s="71">
        <v>2.2850942451408101E-4</v>
      </c>
      <c r="O5" s="54">
        <v>46247</v>
      </c>
      <c r="P5" s="53">
        <v>126</v>
      </c>
      <c r="Q5" s="55">
        <v>46224</v>
      </c>
      <c r="R5" s="56">
        <v>46260</v>
      </c>
      <c r="S5" s="53">
        <v>135</v>
      </c>
      <c r="T5" s="55">
        <v>46280</v>
      </c>
      <c r="U5" s="55">
        <v>46280</v>
      </c>
      <c r="V5" s="53">
        <v>149</v>
      </c>
      <c r="W5" s="55">
        <v>46378</v>
      </c>
      <c r="X5" s="55">
        <v>46244</v>
      </c>
      <c r="Y5" s="53" t="s">
        <v>64</v>
      </c>
      <c r="Z5" s="53" t="s">
        <v>65</v>
      </c>
      <c r="AA5" s="53" t="s">
        <v>66</v>
      </c>
      <c r="AB5" s="53" t="s">
        <v>67</v>
      </c>
      <c r="AC5" s="53" t="s">
        <v>68</v>
      </c>
    </row>
    <row r="6" spans="1:29" ht="54.75" customHeight="1" x14ac:dyDescent="0.35">
      <c r="A6" s="72" t="s">
        <v>84</v>
      </c>
      <c r="B6" s="53" t="s">
        <v>54</v>
      </c>
      <c r="C6" s="53" t="s">
        <v>70</v>
      </c>
      <c r="D6" s="53" t="s">
        <v>71</v>
      </c>
      <c r="E6" s="53" t="s">
        <v>72</v>
      </c>
      <c r="F6" s="53" t="s">
        <v>73</v>
      </c>
      <c r="G6" s="53">
        <v>12</v>
      </c>
      <c r="H6" s="53" t="s">
        <v>74</v>
      </c>
      <c r="I6" s="71">
        <v>2383173000</v>
      </c>
      <c r="J6" s="71">
        <v>1392613000</v>
      </c>
      <c r="K6" s="71">
        <v>0</v>
      </c>
      <c r="L6" s="71">
        <v>2383173000</v>
      </c>
      <c r="M6" s="71">
        <v>2383173000</v>
      </c>
      <c r="N6" s="71">
        <v>9.7138337973390707E-2</v>
      </c>
      <c r="O6" s="54">
        <v>46113</v>
      </c>
      <c r="P6" s="53">
        <v>30</v>
      </c>
      <c r="Q6" s="55">
        <v>46018</v>
      </c>
      <c r="R6" s="56">
        <v>46126</v>
      </c>
      <c r="S6" s="53">
        <v>39</v>
      </c>
      <c r="T6" s="55">
        <v>46146</v>
      </c>
      <c r="U6" s="55">
        <v>46146</v>
      </c>
      <c r="V6" s="53">
        <v>53</v>
      </c>
      <c r="W6" s="55">
        <v>46216</v>
      </c>
      <c r="X6" s="55">
        <v>46038</v>
      </c>
      <c r="Y6" s="53" t="s">
        <v>75</v>
      </c>
      <c r="Z6" s="53" t="s">
        <v>65</v>
      </c>
      <c r="AA6" s="53" t="s">
        <v>76</v>
      </c>
      <c r="AB6" s="53" t="s">
        <v>67</v>
      </c>
      <c r="AC6" s="53" t="s">
        <v>77</v>
      </c>
    </row>
    <row r="7" spans="1:29" ht="15" customHeight="1" x14ac:dyDescent="0.35">
      <c r="A7" s="72" t="s">
        <v>91</v>
      </c>
      <c r="B7" s="53" t="s">
        <v>54</v>
      </c>
      <c r="C7" s="53" t="s">
        <v>79</v>
      </c>
      <c r="D7" s="53" t="s">
        <v>80</v>
      </c>
      <c r="E7" s="53" t="s">
        <v>72</v>
      </c>
      <c r="F7" s="53" t="s">
        <v>81</v>
      </c>
      <c r="G7" s="53">
        <v>6</v>
      </c>
      <c r="H7" s="53" t="s">
        <v>82</v>
      </c>
      <c r="I7" s="71">
        <v>838757028</v>
      </c>
      <c r="J7" s="71"/>
      <c r="K7" s="71">
        <v>0</v>
      </c>
      <c r="L7" s="71">
        <v>838757028</v>
      </c>
      <c r="M7" s="71">
        <v>838757028</v>
      </c>
      <c r="N7" s="71">
        <v>5.6120826520541497E-2</v>
      </c>
      <c r="O7" s="54">
        <v>46217</v>
      </c>
      <c r="P7" s="53">
        <v>104</v>
      </c>
      <c r="Q7" s="55">
        <v>46219</v>
      </c>
      <c r="R7" s="56">
        <v>46228</v>
      </c>
      <c r="S7" s="53">
        <v>112</v>
      </c>
      <c r="T7" s="55">
        <v>46248</v>
      </c>
      <c r="U7" s="55">
        <v>46248</v>
      </c>
      <c r="V7" s="53">
        <v>127</v>
      </c>
      <c r="W7" s="55">
        <v>46318</v>
      </c>
      <c r="X7" s="55">
        <v>46239</v>
      </c>
      <c r="Y7" s="53" t="s">
        <v>75</v>
      </c>
      <c r="Z7" s="53" t="s">
        <v>65</v>
      </c>
      <c r="AA7" s="53" t="s">
        <v>76</v>
      </c>
      <c r="AB7" s="53" t="s">
        <v>83</v>
      </c>
      <c r="AC7" s="53" t="s">
        <v>77</v>
      </c>
    </row>
    <row r="8" spans="1:29" ht="27.75" customHeight="1" x14ac:dyDescent="0.35">
      <c r="A8" s="72" t="s">
        <v>99</v>
      </c>
      <c r="B8" s="53" t="s">
        <v>54</v>
      </c>
      <c r="C8" s="53" t="s">
        <v>85</v>
      </c>
      <c r="D8" s="53" t="s">
        <v>86</v>
      </c>
      <c r="E8" s="53" t="s">
        <v>87</v>
      </c>
      <c r="F8" s="53" t="s">
        <v>88</v>
      </c>
      <c r="G8" s="53">
        <v>2</v>
      </c>
      <c r="H8" s="53" t="s">
        <v>89</v>
      </c>
      <c r="I8" s="71">
        <v>3276000</v>
      </c>
      <c r="J8" s="71">
        <v>247000000</v>
      </c>
      <c r="K8" s="71">
        <v>0</v>
      </c>
      <c r="L8" s="71">
        <v>3276000</v>
      </c>
      <c r="M8" s="71">
        <v>3276000</v>
      </c>
      <c r="N8" s="71">
        <v>3.8399627688673901E-2</v>
      </c>
      <c r="O8" s="54">
        <v>46211</v>
      </c>
      <c r="P8" s="53">
        <v>100</v>
      </c>
      <c r="Q8" s="55">
        <v>46218</v>
      </c>
      <c r="R8" s="56">
        <v>46224</v>
      </c>
      <c r="S8" s="53">
        <v>109</v>
      </c>
      <c r="T8" s="55">
        <v>46244</v>
      </c>
      <c r="U8" s="55">
        <v>46244</v>
      </c>
      <c r="V8" s="53">
        <v>123</v>
      </c>
      <c r="W8" s="55">
        <v>46303</v>
      </c>
      <c r="X8" s="55">
        <v>46238</v>
      </c>
      <c r="Y8" s="53" t="s">
        <v>90</v>
      </c>
      <c r="Z8" s="53" t="s">
        <v>65</v>
      </c>
      <c r="AA8" s="53" t="s">
        <v>76</v>
      </c>
      <c r="AB8" s="53" t="s">
        <v>90</v>
      </c>
      <c r="AC8" s="53" t="s">
        <v>76</v>
      </c>
    </row>
    <row r="9" spans="1:29" ht="15" customHeight="1" x14ac:dyDescent="0.35">
      <c r="A9" s="72" t="s">
        <v>104</v>
      </c>
      <c r="B9" s="53" t="s">
        <v>54</v>
      </c>
      <c r="C9" s="53" t="s">
        <v>525</v>
      </c>
      <c r="D9" s="53" t="s">
        <v>92</v>
      </c>
      <c r="E9" s="53" t="s">
        <v>93</v>
      </c>
      <c r="F9" s="53" t="s">
        <v>94</v>
      </c>
      <c r="G9" s="53">
        <v>9</v>
      </c>
      <c r="H9" s="53" t="s">
        <v>95</v>
      </c>
      <c r="I9" s="71">
        <v>2204000000</v>
      </c>
      <c r="J9" s="71">
        <v>5557000</v>
      </c>
      <c r="K9" s="71">
        <v>0</v>
      </c>
      <c r="L9" s="71">
        <v>2204000000</v>
      </c>
      <c r="M9" s="71">
        <v>2204000000</v>
      </c>
      <c r="N9" s="71">
        <v>1.44178565467218E-2</v>
      </c>
      <c r="O9" s="54">
        <v>46035</v>
      </c>
      <c r="P9" s="53">
        <v>-28</v>
      </c>
      <c r="Q9" s="55">
        <v>46154</v>
      </c>
      <c r="R9" s="56">
        <v>46046</v>
      </c>
      <c r="S9" s="53">
        <v>-19</v>
      </c>
      <c r="T9" s="55">
        <v>46066</v>
      </c>
      <c r="U9" s="55">
        <v>46066</v>
      </c>
      <c r="V9" s="53">
        <v>-5</v>
      </c>
      <c r="W9" s="55">
        <v>46199</v>
      </c>
      <c r="X9" s="55">
        <v>46174</v>
      </c>
      <c r="Y9" s="53" t="s">
        <v>96</v>
      </c>
      <c r="Z9" s="53" t="s">
        <v>65</v>
      </c>
      <c r="AA9" s="53" t="s">
        <v>97</v>
      </c>
      <c r="AB9" s="53" t="s">
        <v>83</v>
      </c>
      <c r="AC9" s="53" t="s">
        <v>98</v>
      </c>
    </row>
    <row r="10" spans="1:29" ht="15" customHeight="1" x14ac:dyDescent="0.35">
      <c r="A10" s="72" t="s">
        <v>113</v>
      </c>
      <c r="B10" s="53" t="s">
        <v>54</v>
      </c>
      <c r="C10" s="53" t="s">
        <v>100</v>
      </c>
      <c r="D10" s="53" t="s">
        <v>101</v>
      </c>
      <c r="E10" s="53" t="s">
        <v>532</v>
      </c>
      <c r="F10" s="53" t="s">
        <v>102</v>
      </c>
      <c r="G10" s="53">
        <v>3</v>
      </c>
      <c r="H10" s="53" t="s">
        <v>103</v>
      </c>
      <c r="I10" s="71">
        <v>350000000</v>
      </c>
      <c r="J10" s="71">
        <v>0</v>
      </c>
      <c r="K10" s="71">
        <v>9886481</v>
      </c>
      <c r="L10" s="71">
        <v>350000000</v>
      </c>
      <c r="M10" s="71">
        <v>350000000</v>
      </c>
      <c r="N10" s="71">
        <v>9.2714085115854494E-3</v>
      </c>
      <c r="O10" s="54">
        <v>46057</v>
      </c>
      <c r="P10" s="53">
        <v>-12</v>
      </c>
      <c r="Q10" s="55">
        <v>46154</v>
      </c>
      <c r="R10" s="56">
        <v>46070</v>
      </c>
      <c r="S10" s="53">
        <v>-3</v>
      </c>
      <c r="T10" s="55">
        <v>46090</v>
      </c>
      <c r="U10" s="55">
        <v>46090</v>
      </c>
      <c r="V10" s="53">
        <v>13</v>
      </c>
      <c r="W10" s="55">
        <v>46160</v>
      </c>
      <c r="X10" s="55">
        <v>46174</v>
      </c>
      <c r="Y10" s="53" t="s">
        <v>67</v>
      </c>
      <c r="Z10" s="53" t="s">
        <v>65</v>
      </c>
      <c r="AA10" s="53" t="s">
        <v>76</v>
      </c>
      <c r="AB10" s="53" t="s">
        <v>67</v>
      </c>
      <c r="AC10" s="53" t="s">
        <v>77</v>
      </c>
    </row>
    <row r="11" spans="1:29" ht="15" customHeight="1" x14ac:dyDescent="0.35">
      <c r="A11" s="72" t="s">
        <v>120</v>
      </c>
      <c r="B11" s="53" t="s">
        <v>54</v>
      </c>
      <c r="C11" s="53" t="s">
        <v>105</v>
      </c>
      <c r="D11" s="53" t="s">
        <v>106</v>
      </c>
      <c r="E11" s="53" t="s">
        <v>61</v>
      </c>
      <c r="F11" s="53" t="s">
        <v>107</v>
      </c>
      <c r="G11" s="53">
        <v>2</v>
      </c>
      <c r="H11" s="53" t="s">
        <v>108</v>
      </c>
      <c r="I11" s="71">
        <v>550512000</v>
      </c>
      <c r="J11" s="71">
        <v>0</v>
      </c>
      <c r="K11" s="71">
        <v>0</v>
      </c>
      <c r="L11" s="71">
        <v>550512000</v>
      </c>
      <c r="M11" s="71">
        <v>550512000</v>
      </c>
      <c r="N11" s="71">
        <v>8.3952172335725606E-2</v>
      </c>
      <c r="O11" s="54">
        <v>46155</v>
      </c>
      <c r="P11" s="53">
        <v>60</v>
      </c>
      <c r="Q11" s="55">
        <v>46128</v>
      </c>
      <c r="R11" s="56">
        <v>46168</v>
      </c>
      <c r="S11" s="53">
        <v>69</v>
      </c>
      <c r="T11" s="55">
        <v>46188</v>
      </c>
      <c r="U11" s="55">
        <v>46188</v>
      </c>
      <c r="V11" s="53">
        <v>83</v>
      </c>
      <c r="W11" s="55">
        <v>46286</v>
      </c>
      <c r="X11" s="55">
        <v>46148</v>
      </c>
      <c r="Y11" s="53" t="s">
        <v>109</v>
      </c>
      <c r="Z11" s="53" t="s">
        <v>65</v>
      </c>
      <c r="AA11" s="53" t="s">
        <v>110</v>
      </c>
      <c r="AB11" s="53" t="s">
        <v>111</v>
      </c>
      <c r="AC11" s="53" t="s">
        <v>112</v>
      </c>
    </row>
    <row r="12" spans="1:29" ht="15" customHeight="1" x14ac:dyDescent="0.35">
      <c r="A12" s="72" t="s">
        <v>124</v>
      </c>
      <c r="B12" s="53" t="s">
        <v>54</v>
      </c>
      <c r="C12" s="53" t="s">
        <v>114</v>
      </c>
      <c r="D12" s="53" t="s">
        <v>115</v>
      </c>
      <c r="E12" s="53" t="s">
        <v>116</v>
      </c>
      <c r="F12" s="53" t="s">
        <v>533</v>
      </c>
      <c r="G12" s="53">
        <v>3</v>
      </c>
      <c r="H12" s="53" t="s">
        <v>117</v>
      </c>
      <c r="I12" s="71">
        <v>206700000</v>
      </c>
      <c r="J12" s="71">
        <v>0</v>
      </c>
      <c r="K12" s="71">
        <v>0</v>
      </c>
      <c r="L12" s="71">
        <v>206700000</v>
      </c>
      <c r="M12" s="71">
        <v>206700000</v>
      </c>
      <c r="N12" s="71">
        <v>0.14734881984577899</v>
      </c>
      <c r="O12" s="54">
        <v>46141</v>
      </c>
      <c r="P12" s="53">
        <v>50</v>
      </c>
      <c r="Q12" s="55">
        <v>46175</v>
      </c>
      <c r="R12" s="56">
        <v>46154</v>
      </c>
      <c r="S12" s="53">
        <v>59</v>
      </c>
      <c r="T12" s="55">
        <v>46174</v>
      </c>
      <c r="U12" s="55">
        <v>46174</v>
      </c>
      <c r="V12" s="53">
        <v>73</v>
      </c>
      <c r="W12" s="55">
        <v>46223</v>
      </c>
      <c r="X12" s="55">
        <v>46195</v>
      </c>
      <c r="Y12" s="53" t="s">
        <v>98</v>
      </c>
      <c r="Z12" s="53" t="s">
        <v>118</v>
      </c>
      <c r="AA12" s="53" t="s">
        <v>76</v>
      </c>
      <c r="AB12" s="53" t="s">
        <v>119</v>
      </c>
      <c r="AC12" s="53" t="s">
        <v>76</v>
      </c>
    </row>
    <row r="13" spans="1:29" ht="15" customHeight="1" x14ac:dyDescent="0.35">
      <c r="A13" s="72" t="s">
        <v>129</v>
      </c>
      <c r="B13" s="53" t="s">
        <v>54</v>
      </c>
      <c r="C13" s="53" t="s">
        <v>121</v>
      </c>
      <c r="D13" s="53" t="s">
        <v>122</v>
      </c>
      <c r="E13" s="53" t="s">
        <v>116</v>
      </c>
      <c r="F13" s="53" t="s">
        <v>534</v>
      </c>
      <c r="G13" s="53">
        <v>3</v>
      </c>
      <c r="H13" s="53" t="s">
        <v>123</v>
      </c>
      <c r="I13" s="71">
        <v>132918519</v>
      </c>
      <c r="J13" s="71">
        <v>0</v>
      </c>
      <c r="K13" s="71">
        <v>0</v>
      </c>
      <c r="L13" s="71">
        <v>132918519</v>
      </c>
      <c r="M13" s="71">
        <v>132918519</v>
      </c>
      <c r="N13" s="71">
        <v>2.42606419231509E-3</v>
      </c>
      <c r="O13" s="54">
        <v>46141</v>
      </c>
      <c r="P13" s="53">
        <v>50</v>
      </c>
      <c r="Q13" s="55">
        <v>46217</v>
      </c>
      <c r="R13" s="56">
        <v>46154</v>
      </c>
      <c r="S13" s="53">
        <v>59</v>
      </c>
      <c r="T13" s="55">
        <v>46174</v>
      </c>
      <c r="U13" s="55">
        <v>46174</v>
      </c>
      <c r="V13" s="53">
        <v>73</v>
      </c>
      <c r="W13" s="55">
        <v>46223</v>
      </c>
      <c r="X13" s="55">
        <v>46237</v>
      </c>
      <c r="Y13" s="53" t="s">
        <v>98</v>
      </c>
      <c r="Z13" s="53" t="s">
        <v>118</v>
      </c>
      <c r="AA13" s="53" t="s">
        <v>76</v>
      </c>
      <c r="AB13" s="53" t="s">
        <v>119</v>
      </c>
      <c r="AC13" s="53" t="s">
        <v>76</v>
      </c>
    </row>
    <row r="14" spans="1:29" ht="15" customHeight="1" x14ac:dyDescent="0.35">
      <c r="A14" s="72" t="s">
        <v>136</v>
      </c>
      <c r="B14" s="53" t="s">
        <v>54</v>
      </c>
      <c r="C14" s="53" t="s">
        <v>125</v>
      </c>
      <c r="D14" s="53" t="s">
        <v>126</v>
      </c>
      <c r="E14" s="53" t="s">
        <v>116</v>
      </c>
      <c r="F14" s="53" t="s">
        <v>127</v>
      </c>
      <c r="G14" s="53">
        <v>3</v>
      </c>
      <c r="H14" s="53" t="s">
        <v>128</v>
      </c>
      <c r="I14" s="71">
        <v>1203571000</v>
      </c>
      <c r="J14" s="71">
        <v>111039000</v>
      </c>
      <c r="K14" s="71">
        <v>0</v>
      </c>
      <c r="L14" s="71">
        <v>1203571000</v>
      </c>
      <c r="M14" s="71">
        <v>1203571000</v>
      </c>
      <c r="N14" s="71">
        <v>8.3703085902593708E-3</v>
      </c>
      <c r="O14" s="54">
        <v>46115</v>
      </c>
      <c r="P14" s="53">
        <v>32</v>
      </c>
      <c r="Q14" s="55">
        <v>46305</v>
      </c>
      <c r="R14" s="56">
        <v>46128</v>
      </c>
      <c r="S14" s="53">
        <v>41</v>
      </c>
      <c r="T14" s="55">
        <v>46148</v>
      </c>
      <c r="U14" s="55">
        <v>46148</v>
      </c>
      <c r="V14" s="53">
        <v>55</v>
      </c>
      <c r="W14" s="55">
        <v>46197</v>
      </c>
      <c r="X14" s="55">
        <v>46325</v>
      </c>
      <c r="Y14" s="53" t="s">
        <v>90</v>
      </c>
      <c r="Z14" s="53" t="s">
        <v>65</v>
      </c>
      <c r="AA14" s="53"/>
      <c r="AB14" s="53" t="s">
        <v>90</v>
      </c>
      <c r="AC14" s="53"/>
    </row>
    <row r="15" spans="1:29" ht="15" customHeight="1" x14ac:dyDescent="0.35">
      <c r="A15" s="72" t="s">
        <v>143</v>
      </c>
      <c r="B15" s="53" t="s">
        <v>54</v>
      </c>
      <c r="C15" s="53" t="s">
        <v>130</v>
      </c>
      <c r="D15" s="53" t="s">
        <v>131</v>
      </c>
      <c r="E15" s="53" t="s">
        <v>72</v>
      </c>
      <c r="F15" s="53" t="s">
        <v>132</v>
      </c>
      <c r="G15" s="53">
        <v>3</v>
      </c>
      <c r="H15" s="53" t="s">
        <v>133</v>
      </c>
      <c r="I15" s="71">
        <v>2112450000</v>
      </c>
      <c r="J15" s="71">
        <v>0</v>
      </c>
      <c r="K15" s="71">
        <v>0</v>
      </c>
      <c r="L15" s="71">
        <v>2112450000</v>
      </c>
      <c r="M15" s="71">
        <v>2112450000</v>
      </c>
      <c r="N15" s="71">
        <v>7.1949777590437898E-4</v>
      </c>
      <c r="O15" s="54">
        <v>46162</v>
      </c>
      <c r="P15" s="53">
        <v>65</v>
      </c>
      <c r="Q15" s="55">
        <v>46127</v>
      </c>
      <c r="R15" s="56">
        <v>46175</v>
      </c>
      <c r="S15" s="53">
        <v>74</v>
      </c>
      <c r="T15" s="55">
        <v>46195</v>
      </c>
      <c r="U15" s="55">
        <v>46195</v>
      </c>
      <c r="V15" s="53">
        <v>88</v>
      </c>
      <c r="W15" s="55">
        <v>46265</v>
      </c>
      <c r="X15" s="55">
        <v>46147</v>
      </c>
      <c r="Y15" s="53" t="s">
        <v>134</v>
      </c>
      <c r="Z15" s="53" t="s">
        <v>65</v>
      </c>
      <c r="AA15" s="53" t="s">
        <v>76</v>
      </c>
      <c r="AB15" s="53" t="s">
        <v>134</v>
      </c>
      <c r="AC15" s="53" t="s">
        <v>135</v>
      </c>
    </row>
    <row r="16" spans="1:29" ht="15" customHeight="1" x14ac:dyDescent="0.35">
      <c r="A16" s="72" t="s">
        <v>148</v>
      </c>
      <c r="B16" s="53" t="s">
        <v>54</v>
      </c>
      <c r="C16" s="53" t="s">
        <v>137</v>
      </c>
      <c r="D16" s="53" t="s">
        <v>138</v>
      </c>
      <c r="E16" s="53" t="s">
        <v>139</v>
      </c>
      <c r="F16" s="53" t="s">
        <v>140</v>
      </c>
      <c r="G16" s="53">
        <v>12</v>
      </c>
      <c r="H16" s="53" t="s">
        <v>141</v>
      </c>
      <c r="I16" s="71">
        <v>34781000</v>
      </c>
      <c r="J16" s="71">
        <v>0</v>
      </c>
      <c r="K16" s="71">
        <v>0</v>
      </c>
      <c r="L16" s="71">
        <v>34781000</v>
      </c>
      <c r="M16" s="71">
        <v>34781000</v>
      </c>
      <c r="N16" s="71">
        <v>8.0961112313567892E-3</v>
      </c>
      <c r="O16" s="54">
        <v>46204</v>
      </c>
      <c r="P16" s="53">
        <v>95</v>
      </c>
      <c r="Q16" s="55">
        <v>46158</v>
      </c>
      <c r="R16" s="56">
        <v>46217</v>
      </c>
      <c r="S16" s="53">
        <v>104</v>
      </c>
      <c r="T16" s="55">
        <v>46237</v>
      </c>
      <c r="U16" s="55">
        <v>46237</v>
      </c>
      <c r="V16" s="53">
        <v>118</v>
      </c>
      <c r="W16" s="55">
        <v>46293</v>
      </c>
      <c r="X16" s="55">
        <v>46178</v>
      </c>
      <c r="Y16" s="53" t="s">
        <v>90</v>
      </c>
      <c r="Z16" s="53" t="s">
        <v>118</v>
      </c>
      <c r="AA16" s="53" t="s">
        <v>142</v>
      </c>
      <c r="AB16" s="53" t="s">
        <v>90</v>
      </c>
      <c r="AC16" s="53"/>
    </row>
    <row r="17" spans="1:29" ht="27.75" customHeight="1" x14ac:dyDescent="0.35">
      <c r="A17" s="72" t="s">
        <v>156</v>
      </c>
      <c r="B17" s="53" t="s">
        <v>54</v>
      </c>
      <c r="C17" s="53" t="s">
        <v>144</v>
      </c>
      <c r="D17" s="53" t="s">
        <v>145</v>
      </c>
      <c r="E17" s="53" t="s">
        <v>87</v>
      </c>
      <c r="F17" s="53" t="s">
        <v>535</v>
      </c>
      <c r="G17" s="53">
        <v>3</v>
      </c>
      <c r="H17" s="53" t="s">
        <v>146</v>
      </c>
      <c r="I17" s="71">
        <v>120000000</v>
      </c>
      <c r="J17" s="71">
        <v>0</v>
      </c>
      <c r="K17" s="71">
        <v>0</v>
      </c>
      <c r="L17" s="71">
        <v>120000000</v>
      </c>
      <c r="M17" s="71">
        <v>120000000</v>
      </c>
      <c r="N17" s="71">
        <v>3.5730336279240202E-2</v>
      </c>
      <c r="O17" s="54">
        <v>46294</v>
      </c>
      <c r="P17" s="53">
        <v>159</v>
      </c>
      <c r="Q17" s="55">
        <v>46137</v>
      </c>
      <c r="R17" s="56">
        <v>46305</v>
      </c>
      <c r="S17" s="53">
        <v>167</v>
      </c>
      <c r="T17" s="55">
        <v>46325</v>
      </c>
      <c r="U17" s="55">
        <v>46325</v>
      </c>
      <c r="V17" s="53">
        <v>182</v>
      </c>
      <c r="W17" s="55">
        <v>46384</v>
      </c>
      <c r="X17" s="55">
        <v>46157</v>
      </c>
      <c r="Y17" s="53" t="s">
        <v>147</v>
      </c>
      <c r="Z17" s="53" t="s">
        <v>65</v>
      </c>
      <c r="AA17" s="53"/>
      <c r="AB17" s="53" t="s">
        <v>147</v>
      </c>
      <c r="AC17" s="53"/>
    </row>
    <row r="18" spans="1:29" ht="27.75" customHeight="1" x14ac:dyDescent="0.35">
      <c r="A18" s="72" t="s">
        <v>162</v>
      </c>
      <c r="B18" s="53" t="s">
        <v>54</v>
      </c>
      <c r="C18" s="53" t="s">
        <v>149</v>
      </c>
      <c r="D18" s="53" t="s">
        <v>150</v>
      </c>
      <c r="E18" s="53" t="s">
        <v>139</v>
      </c>
      <c r="F18" s="53" t="s">
        <v>151</v>
      </c>
      <c r="G18" s="53">
        <v>3</v>
      </c>
      <c r="H18" s="53" t="s">
        <v>152</v>
      </c>
      <c r="I18" s="71">
        <v>10315000</v>
      </c>
      <c r="J18" s="71">
        <v>57052972</v>
      </c>
      <c r="K18" s="71">
        <v>0</v>
      </c>
      <c r="L18" s="71">
        <v>10315000</v>
      </c>
      <c r="M18" s="71">
        <v>10315000</v>
      </c>
      <c r="N18" s="71">
        <v>6.5201772357041901E-2</v>
      </c>
      <c r="O18" s="54">
        <v>46114</v>
      </c>
      <c r="P18" s="53">
        <v>31</v>
      </c>
      <c r="Q18" s="55">
        <v>46238</v>
      </c>
      <c r="R18" s="56">
        <v>46127</v>
      </c>
      <c r="S18" s="53">
        <v>40</v>
      </c>
      <c r="T18" s="55">
        <v>46147</v>
      </c>
      <c r="U18" s="55">
        <v>46147</v>
      </c>
      <c r="V18" s="53">
        <v>54</v>
      </c>
      <c r="W18" s="55">
        <v>46203</v>
      </c>
      <c r="X18" s="55">
        <v>46258</v>
      </c>
      <c r="Y18" s="53" t="s">
        <v>153</v>
      </c>
      <c r="Z18" s="53" t="s">
        <v>118</v>
      </c>
      <c r="AA18" s="53" t="s">
        <v>154</v>
      </c>
      <c r="AB18" s="53" t="s">
        <v>155</v>
      </c>
      <c r="AC18" s="53"/>
    </row>
    <row r="19" spans="1:29" ht="15" customHeight="1" x14ac:dyDescent="0.35">
      <c r="A19" s="72" t="s">
        <v>170</v>
      </c>
      <c r="B19" s="53" t="s">
        <v>54</v>
      </c>
      <c r="C19" s="53" t="s">
        <v>157</v>
      </c>
      <c r="D19" s="53" t="s">
        <v>158</v>
      </c>
      <c r="E19" s="53" t="s">
        <v>139</v>
      </c>
      <c r="F19" s="53" t="s">
        <v>159</v>
      </c>
      <c r="G19" s="53">
        <v>4</v>
      </c>
      <c r="H19" s="53" t="s">
        <v>160</v>
      </c>
      <c r="I19" s="71">
        <v>116069000</v>
      </c>
      <c r="J19" s="71">
        <v>0</v>
      </c>
      <c r="K19" s="71">
        <v>0</v>
      </c>
      <c r="L19" s="71">
        <v>116069000</v>
      </c>
      <c r="M19" s="71">
        <v>116069000</v>
      </c>
      <c r="N19" s="71">
        <v>5.2729456490054798E-3</v>
      </c>
      <c r="O19" s="54">
        <v>46147</v>
      </c>
      <c r="P19" s="53">
        <v>54</v>
      </c>
      <c r="Q19" s="55">
        <v>46141</v>
      </c>
      <c r="R19" s="56">
        <v>46158</v>
      </c>
      <c r="S19" s="53">
        <v>62</v>
      </c>
      <c r="T19" s="55">
        <v>46178</v>
      </c>
      <c r="U19" s="55">
        <v>46178</v>
      </c>
      <c r="V19" s="53">
        <v>77</v>
      </c>
      <c r="W19" s="55">
        <v>46234</v>
      </c>
      <c r="X19" s="55">
        <v>46161</v>
      </c>
      <c r="Y19" s="53" t="s">
        <v>161</v>
      </c>
      <c r="Z19" s="53" t="s">
        <v>118</v>
      </c>
      <c r="AA19" s="53" t="s">
        <v>76</v>
      </c>
      <c r="AB19" s="53" t="s">
        <v>90</v>
      </c>
      <c r="AC19" s="53" t="s">
        <v>76</v>
      </c>
    </row>
    <row r="20" spans="1:29" ht="27.75" customHeight="1" x14ac:dyDescent="0.35">
      <c r="A20" s="72" t="s">
        <v>177</v>
      </c>
      <c r="B20" s="53" t="s">
        <v>54</v>
      </c>
      <c r="C20" s="53" t="s">
        <v>163</v>
      </c>
      <c r="D20" s="53" t="s">
        <v>164</v>
      </c>
      <c r="E20" s="53" t="s">
        <v>61</v>
      </c>
      <c r="F20" s="53" t="s">
        <v>165</v>
      </c>
      <c r="G20" s="53">
        <v>12</v>
      </c>
      <c r="H20" s="53" t="s">
        <v>166</v>
      </c>
      <c r="I20" s="71">
        <v>512244000</v>
      </c>
      <c r="J20" s="71">
        <v>0</v>
      </c>
      <c r="K20" s="71">
        <v>0</v>
      </c>
      <c r="L20" s="71">
        <v>512244000</v>
      </c>
      <c r="M20" s="71">
        <v>512244000</v>
      </c>
      <c r="N20" s="71">
        <v>8.9234464829323502E-3</v>
      </c>
      <c r="O20" s="54">
        <v>46094</v>
      </c>
      <c r="P20" s="53">
        <v>17</v>
      </c>
      <c r="Q20" s="55">
        <v>46273</v>
      </c>
      <c r="R20" s="56">
        <v>46107</v>
      </c>
      <c r="S20" s="53">
        <v>26</v>
      </c>
      <c r="T20" s="55">
        <v>46127</v>
      </c>
      <c r="U20" s="55">
        <v>46127</v>
      </c>
      <c r="V20" s="53">
        <v>40</v>
      </c>
      <c r="W20" s="55">
        <v>46225</v>
      </c>
      <c r="X20" s="55">
        <v>46293</v>
      </c>
      <c r="Y20" s="53" t="s">
        <v>167</v>
      </c>
      <c r="Z20" s="53" t="s">
        <v>65</v>
      </c>
      <c r="AA20" s="53" t="s">
        <v>168</v>
      </c>
      <c r="AB20" s="53" t="s">
        <v>111</v>
      </c>
      <c r="AC20" s="53" t="s">
        <v>169</v>
      </c>
    </row>
    <row r="21" spans="1:29" ht="27.75" customHeight="1" x14ac:dyDescent="0.35">
      <c r="A21" s="72" t="s">
        <v>183</v>
      </c>
      <c r="B21" s="53" t="s">
        <v>54</v>
      </c>
      <c r="C21" s="53" t="s">
        <v>171</v>
      </c>
      <c r="D21" s="53" t="s">
        <v>172</v>
      </c>
      <c r="E21" s="53" t="s">
        <v>173</v>
      </c>
      <c r="F21" s="53" t="s">
        <v>174</v>
      </c>
      <c r="G21" s="53">
        <v>3</v>
      </c>
      <c r="H21" s="53" t="s">
        <v>175</v>
      </c>
      <c r="I21" s="71">
        <v>934757972</v>
      </c>
      <c r="J21" s="71">
        <v>0</v>
      </c>
      <c r="K21" s="71">
        <v>0</v>
      </c>
      <c r="L21" s="71">
        <v>934757972</v>
      </c>
      <c r="M21" s="71">
        <v>934757972</v>
      </c>
      <c r="N21" s="71">
        <v>2.2218984152843498E-3</v>
      </c>
      <c r="O21" s="54">
        <v>46049</v>
      </c>
      <c r="P21" s="53">
        <v>-18</v>
      </c>
      <c r="Q21" s="55">
        <v>46270</v>
      </c>
      <c r="R21" s="56">
        <v>46060</v>
      </c>
      <c r="S21" s="53">
        <v>-9</v>
      </c>
      <c r="T21" s="55">
        <v>46080</v>
      </c>
      <c r="U21" s="55">
        <v>46080</v>
      </c>
      <c r="V21" s="53">
        <v>7</v>
      </c>
      <c r="W21" s="55">
        <v>46171</v>
      </c>
      <c r="X21" s="55">
        <v>46290</v>
      </c>
      <c r="Y21" s="53" t="s">
        <v>142</v>
      </c>
      <c r="Z21" s="53" t="s">
        <v>65</v>
      </c>
      <c r="AA21" s="53" t="s">
        <v>176</v>
      </c>
      <c r="AB21" s="53" t="s">
        <v>90</v>
      </c>
      <c r="AC21" s="53"/>
    </row>
    <row r="22" spans="1:29" ht="15" customHeight="1" x14ac:dyDescent="0.35">
      <c r="A22" s="72" t="s">
        <v>190</v>
      </c>
      <c r="B22" s="53" t="s">
        <v>54</v>
      </c>
      <c r="C22" s="53" t="s">
        <v>178</v>
      </c>
      <c r="D22" s="53" t="s">
        <v>179</v>
      </c>
      <c r="E22" s="53" t="s">
        <v>61</v>
      </c>
      <c r="F22" s="53" t="s">
        <v>180</v>
      </c>
      <c r="G22" s="53">
        <v>3</v>
      </c>
      <c r="H22" s="53" t="s">
        <v>181</v>
      </c>
      <c r="I22" s="71">
        <v>75595000</v>
      </c>
      <c r="J22" s="71">
        <v>0</v>
      </c>
      <c r="K22" s="71">
        <v>0</v>
      </c>
      <c r="L22" s="71">
        <v>75595000</v>
      </c>
      <c r="M22" s="71">
        <v>75595000</v>
      </c>
      <c r="N22" s="71">
        <v>4.31547999988003E-2</v>
      </c>
      <c r="O22" s="54">
        <v>46113</v>
      </c>
      <c r="P22" s="53">
        <v>30</v>
      </c>
      <c r="Q22" s="55">
        <v>46204</v>
      </c>
      <c r="R22" s="56">
        <v>46126</v>
      </c>
      <c r="S22" s="53">
        <v>39</v>
      </c>
      <c r="T22" s="55">
        <v>46146</v>
      </c>
      <c r="U22" s="55">
        <v>46146</v>
      </c>
      <c r="V22" s="53">
        <v>53</v>
      </c>
      <c r="W22" s="55">
        <v>46244</v>
      </c>
      <c r="X22" s="55">
        <v>46224</v>
      </c>
      <c r="Y22" s="53" t="s">
        <v>134</v>
      </c>
      <c r="Z22" s="53" t="s">
        <v>118</v>
      </c>
      <c r="AA22" s="53" t="s">
        <v>182</v>
      </c>
      <c r="AB22" s="53" t="s">
        <v>134</v>
      </c>
      <c r="AC22" s="53" t="s">
        <v>76</v>
      </c>
    </row>
    <row r="23" spans="1:29" ht="15" customHeight="1" x14ac:dyDescent="0.35">
      <c r="A23" s="72" t="s">
        <v>197</v>
      </c>
      <c r="B23" s="53" t="s">
        <v>54</v>
      </c>
      <c r="C23" s="53" t="s">
        <v>184</v>
      </c>
      <c r="D23" s="53" t="s">
        <v>185</v>
      </c>
      <c r="E23" s="53" t="s">
        <v>139</v>
      </c>
      <c r="F23" s="53" t="s">
        <v>186</v>
      </c>
      <c r="G23" s="53">
        <v>2</v>
      </c>
      <c r="H23" s="53" t="s">
        <v>187</v>
      </c>
      <c r="I23" s="71">
        <v>127930000</v>
      </c>
      <c r="J23" s="71">
        <v>0</v>
      </c>
      <c r="K23" s="71">
        <v>0</v>
      </c>
      <c r="L23" s="71">
        <v>127930000</v>
      </c>
      <c r="M23" s="71">
        <v>127930000</v>
      </c>
      <c r="N23" s="71">
        <v>1.8586828245243599E-2</v>
      </c>
      <c r="O23" s="54">
        <v>46260</v>
      </c>
      <c r="P23" s="53">
        <v>135</v>
      </c>
      <c r="Q23" s="55">
        <v>46074</v>
      </c>
      <c r="R23" s="56">
        <v>46273</v>
      </c>
      <c r="S23" s="53">
        <v>144</v>
      </c>
      <c r="T23" s="55">
        <v>46293</v>
      </c>
      <c r="U23" s="55">
        <v>46293</v>
      </c>
      <c r="V23" s="53">
        <v>158</v>
      </c>
      <c r="W23" s="55">
        <v>46349</v>
      </c>
      <c r="X23" s="55">
        <v>46094</v>
      </c>
      <c r="Y23" s="53" t="s">
        <v>188</v>
      </c>
      <c r="Z23" s="53" t="s">
        <v>65</v>
      </c>
      <c r="AA23" s="53"/>
      <c r="AB23" s="53" t="s">
        <v>83</v>
      </c>
      <c r="AC23" s="53" t="s">
        <v>189</v>
      </c>
    </row>
    <row r="24" spans="1:29" ht="41.25" customHeight="1" x14ac:dyDescent="0.35">
      <c r="A24" s="72" t="s">
        <v>202</v>
      </c>
      <c r="B24" s="53" t="s">
        <v>54</v>
      </c>
      <c r="C24" s="53" t="s">
        <v>191</v>
      </c>
      <c r="D24" s="53" t="s">
        <v>192</v>
      </c>
      <c r="E24" s="53" t="s">
        <v>139</v>
      </c>
      <c r="F24" s="53" t="s">
        <v>193</v>
      </c>
      <c r="G24" s="53">
        <v>2</v>
      </c>
      <c r="H24" s="53" t="s">
        <v>194</v>
      </c>
      <c r="I24" s="71">
        <v>31854000</v>
      </c>
      <c r="J24" s="71">
        <v>0</v>
      </c>
      <c r="K24" s="71">
        <v>0</v>
      </c>
      <c r="L24" s="71">
        <v>31854000</v>
      </c>
      <c r="M24" s="71">
        <v>31854000</v>
      </c>
      <c r="N24" s="71">
        <v>5.10843420892109E-2</v>
      </c>
      <c r="O24" s="54">
        <v>46206</v>
      </c>
      <c r="P24" s="53">
        <v>97</v>
      </c>
      <c r="Q24" s="55">
        <v>46172</v>
      </c>
      <c r="R24" s="56">
        <v>46219</v>
      </c>
      <c r="S24" s="53">
        <v>106</v>
      </c>
      <c r="T24" s="55">
        <v>46239</v>
      </c>
      <c r="U24" s="55">
        <v>46239</v>
      </c>
      <c r="V24" s="53">
        <v>120</v>
      </c>
      <c r="W24" s="55">
        <v>46295</v>
      </c>
      <c r="X24" s="55">
        <v>46192</v>
      </c>
      <c r="Y24" s="53" t="s">
        <v>195</v>
      </c>
      <c r="Z24" s="53" t="s">
        <v>118</v>
      </c>
      <c r="AA24" s="53"/>
      <c r="AB24" s="53" t="s">
        <v>196</v>
      </c>
      <c r="AC24" s="53" t="s">
        <v>169</v>
      </c>
    </row>
    <row r="25" spans="1:29" ht="15" customHeight="1" x14ac:dyDescent="0.35">
      <c r="A25" s="72" t="s">
        <v>205</v>
      </c>
      <c r="B25" s="53" t="s">
        <v>212</v>
      </c>
      <c r="C25" s="53" t="s">
        <v>198</v>
      </c>
      <c r="D25" s="53" t="s">
        <v>199</v>
      </c>
      <c r="E25" s="53" t="s">
        <v>93</v>
      </c>
      <c r="F25" s="53" t="s">
        <v>200</v>
      </c>
      <c r="G25" s="53">
        <v>6</v>
      </c>
      <c r="H25" s="53" t="s">
        <v>201</v>
      </c>
      <c r="I25" s="71">
        <v>263591008</v>
      </c>
      <c r="J25" s="71">
        <v>0</v>
      </c>
      <c r="K25" s="71">
        <v>0</v>
      </c>
      <c r="L25" s="71">
        <v>263591008</v>
      </c>
      <c r="M25" s="71">
        <v>263591008</v>
      </c>
      <c r="N25" s="71">
        <v>3.4496831803322299E-3</v>
      </c>
      <c r="O25" s="54">
        <v>46191</v>
      </c>
      <c r="P25" s="53">
        <v>86</v>
      </c>
      <c r="Q25" s="55">
        <v>46017</v>
      </c>
      <c r="R25" s="56">
        <v>46204</v>
      </c>
      <c r="S25" s="53">
        <v>95</v>
      </c>
      <c r="T25" s="55">
        <v>46224</v>
      </c>
      <c r="U25" s="55">
        <v>46224</v>
      </c>
      <c r="V25" s="53">
        <v>109</v>
      </c>
      <c r="W25" s="55">
        <v>46357</v>
      </c>
      <c r="X25" s="55">
        <v>46037</v>
      </c>
      <c r="Y25" s="53" t="s">
        <v>537</v>
      </c>
      <c r="Z25" s="53" t="s">
        <v>65</v>
      </c>
      <c r="AA25" s="53" t="s">
        <v>538</v>
      </c>
      <c r="AB25" s="53"/>
      <c r="AC25" s="53"/>
    </row>
    <row r="26" spans="1:29" ht="15" customHeight="1" x14ac:dyDescent="0.35">
      <c r="A26" s="72" t="s">
        <v>211</v>
      </c>
      <c r="B26" s="53" t="s">
        <v>54</v>
      </c>
      <c r="C26" s="53" t="s">
        <v>526</v>
      </c>
      <c r="D26" s="53" t="s">
        <v>203</v>
      </c>
      <c r="E26" s="53" t="s">
        <v>532</v>
      </c>
      <c r="F26" s="53" t="s">
        <v>536</v>
      </c>
      <c r="G26" s="53">
        <v>2</v>
      </c>
      <c r="H26" s="53" t="s">
        <v>204</v>
      </c>
      <c r="I26" s="71">
        <v>266468000</v>
      </c>
      <c r="J26" s="71">
        <v>9886481</v>
      </c>
      <c r="K26" s="71">
        <v>0</v>
      </c>
      <c r="L26" s="71">
        <v>266468000</v>
      </c>
      <c r="M26" s="71">
        <v>266468000</v>
      </c>
      <c r="N26" s="71">
        <v>2.7095210725657601E-2</v>
      </c>
      <c r="O26" s="54">
        <v>46063</v>
      </c>
      <c r="P26" s="53">
        <v>-8</v>
      </c>
      <c r="Q26" s="55">
        <v>46145</v>
      </c>
      <c r="R26" s="56">
        <v>46074</v>
      </c>
      <c r="S26" s="53">
        <v>2</v>
      </c>
      <c r="T26" s="55">
        <v>46094</v>
      </c>
      <c r="U26" s="55">
        <v>46094</v>
      </c>
      <c r="V26" s="53">
        <v>17</v>
      </c>
      <c r="W26" s="55">
        <v>46164</v>
      </c>
      <c r="X26" s="55">
        <v>46165</v>
      </c>
      <c r="Y26" s="53" t="s">
        <v>98</v>
      </c>
      <c r="Z26" s="53" t="s">
        <v>118</v>
      </c>
      <c r="AA26" s="53" t="s">
        <v>76</v>
      </c>
      <c r="AB26" s="53" t="s">
        <v>90</v>
      </c>
      <c r="AC26" s="53" t="s">
        <v>76</v>
      </c>
    </row>
    <row r="27" spans="1:29" ht="27.75" customHeight="1" x14ac:dyDescent="0.35">
      <c r="A27" s="72" t="s">
        <v>217</v>
      </c>
      <c r="B27" s="53" t="s">
        <v>54</v>
      </c>
      <c r="C27" s="53" t="s">
        <v>206</v>
      </c>
      <c r="D27" s="53" t="s">
        <v>207</v>
      </c>
      <c r="E27" s="53" t="s">
        <v>61</v>
      </c>
      <c r="F27" s="53" t="s">
        <v>208</v>
      </c>
      <c r="G27" s="53">
        <v>12</v>
      </c>
      <c r="H27" s="53" t="s">
        <v>209</v>
      </c>
      <c r="I27" s="71">
        <v>732365000</v>
      </c>
      <c r="J27" s="71">
        <v>0</v>
      </c>
      <c r="K27" s="71">
        <v>0</v>
      </c>
      <c r="L27" s="71">
        <v>732365000</v>
      </c>
      <c r="M27" s="71">
        <v>732365000</v>
      </c>
      <c r="N27" s="71">
        <v>1.0792466638565699E-2</v>
      </c>
      <c r="O27" s="54">
        <v>46142</v>
      </c>
      <c r="P27" s="53">
        <v>51</v>
      </c>
      <c r="Q27" s="55">
        <v>46137</v>
      </c>
      <c r="R27" s="56">
        <v>46155</v>
      </c>
      <c r="S27" s="53">
        <v>60</v>
      </c>
      <c r="T27" s="55">
        <v>46175</v>
      </c>
      <c r="U27" s="55">
        <v>46175</v>
      </c>
      <c r="V27" s="53">
        <v>74</v>
      </c>
      <c r="W27" s="55">
        <v>46273</v>
      </c>
      <c r="X27" s="55">
        <v>46157</v>
      </c>
      <c r="Y27" s="53" t="s">
        <v>167</v>
      </c>
      <c r="Z27" s="53" t="s">
        <v>65</v>
      </c>
      <c r="AA27" s="53" t="s">
        <v>210</v>
      </c>
      <c r="AB27" s="53" t="s">
        <v>111</v>
      </c>
      <c r="AC27" s="53"/>
    </row>
    <row r="28" spans="1:29" ht="27.75" customHeight="1" x14ac:dyDescent="0.35">
      <c r="A28" s="72" t="s">
        <v>222</v>
      </c>
      <c r="B28" s="53" t="s">
        <v>54</v>
      </c>
      <c r="C28" s="53" t="s">
        <v>213</v>
      </c>
      <c r="D28" s="53" t="s">
        <v>214</v>
      </c>
      <c r="E28" s="53" t="s">
        <v>139</v>
      </c>
      <c r="F28" s="53" t="s">
        <v>215</v>
      </c>
      <c r="G28" s="53">
        <v>9</v>
      </c>
      <c r="H28" s="53" t="s">
        <v>216</v>
      </c>
      <c r="I28" s="71">
        <v>49456000</v>
      </c>
      <c r="J28" s="71">
        <v>0</v>
      </c>
      <c r="K28" s="71">
        <v>0</v>
      </c>
      <c r="L28" s="71">
        <v>49456000</v>
      </c>
      <c r="M28" s="71">
        <v>49456000</v>
      </c>
      <c r="N28" s="71">
        <v>2.7901028634197901E-3</v>
      </c>
      <c r="O28" s="54">
        <v>46006</v>
      </c>
      <c r="P28" s="53">
        <v>-49</v>
      </c>
      <c r="Q28" s="55">
        <v>46227</v>
      </c>
      <c r="R28" s="56">
        <v>46017</v>
      </c>
      <c r="S28" s="53">
        <v>-40</v>
      </c>
      <c r="T28" s="55">
        <v>46037</v>
      </c>
      <c r="U28" s="55">
        <v>46037</v>
      </c>
      <c r="V28" s="53">
        <v>-26</v>
      </c>
      <c r="W28" s="55">
        <v>46093</v>
      </c>
      <c r="X28" s="55">
        <v>46247</v>
      </c>
      <c r="Y28" s="53" t="s">
        <v>83</v>
      </c>
      <c r="Z28" s="53" t="s">
        <v>76</v>
      </c>
      <c r="AA28" s="53" t="s">
        <v>76</v>
      </c>
      <c r="AB28" s="53" t="s">
        <v>111</v>
      </c>
      <c r="AC28" s="53" t="s">
        <v>76</v>
      </c>
    </row>
    <row r="29" spans="1:29" ht="15" customHeight="1" x14ac:dyDescent="0.35">
      <c r="A29" s="72" t="s">
        <v>223</v>
      </c>
      <c r="B29" s="53" t="s">
        <v>54</v>
      </c>
      <c r="C29" s="53" t="s">
        <v>218</v>
      </c>
      <c r="D29" s="53" t="s">
        <v>219</v>
      </c>
      <c r="E29" s="53" t="s">
        <v>116</v>
      </c>
      <c r="F29" s="53" t="s">
        <v>220</v>
      </c>
      <c r="G29" s="53">
        <v>12</v>
      </c>
      <c r="H29" s="53" t="s">
        <v>221</v>
      </c>
      <c r="I29" s="71">
        <v>388447481</v>
      </c>
      <c r="J29" s="71">
        <v>0</v>
      </c>
      <c r="K29" s="71">
        <v>0</v>
      </c>
      <c r="L29" s="71">
        <v>388447481</v>
      </c>
      <c r="M29" s="71">
        <v>388447481</v>
      </c>
      <c r="N29" s="71">
        <v>1.0462885737824201E-3</v>
      </c>
      <c r="O29" s="54">
        <v>46133</v>
      </c>
      <c r="P29" s="53">
        <v>44</v>
      </c>
      <c r="Q29" s="55">
        <v>46175</v>
      </c>
      <c r="R29" s="56">
        <v>46145</v>
      </c>
      <c r="S29" s="53">
        <v>52</v>
      </c>
      <c r="T29" s="55">
        <v>46165</v>
      </c>
      <c r="U29" s="55">
        <v>46165</v>
      </c>
      <c r="V29" s="53">
        <v>67</v>
      </c>
      <c r="W29" s="55">
        <v>46214</v>
      </c>
      <c r="X29" s="55">
        <v>46195</v>
      </c>
      <c r="Y29" s="53" t="s">
        <v>75</v>
      </c>
      <c r="Z29" s="53" t="s">
        <v>118</v>
      </c>
      <c r="AA29" s="53" t="s">
        <v>76</v>
      </c>
      <c r="AB29" s="53" t="s">
        <v>119</v>
      </c>
      <c r="AC29" s="53" t="s">
        <v>76</v>
      </c>
    </row>
    <row r="30" spans="1:29" ht="15" customHeight="1" x14ac:dyDescent="0.35">
      <c r="A30" s="53"/>
      <c r="B30" s="53"/>
      <c r="C30" s="53"/>
      <c r="D30" s="53"/>
      <c r="E30" s="53"/>
      <c r="F30" s="53"/>
      <c r="G30" s="53"/>
      <c r="H30" s="53"/>
      <c r="I30" s="71"/>
      <c r="J30" s="71"/>
      <c r="K30" s="71"/>
      <c r="L30" s="71">
        <v>100000000</v>
      </c>
      <c r="M30" s="71">
        <v>100000000</v>
      </c>
      <c r="N30" s="71"/>
      <c r="O30" s="54"/>
      <c r="P30" s="53"/>
      <c r="Q30" s="55"/>
      <c r="R30" s="53"/>
      <c r="S30" s="53"/>
      <c r="T30" s="55"/>
      <c r="U30" s="55"/>
      <c r="V30" s="53"/>
      <c r="W30" s="55"/>
      <c r="X30" s="55"/>
      <c r="Y30" s="53"/>
      <c r="Z30" s="53"/>
      <c r="AA30" s="53"/>
      <c r="AB30" s="53"/>
      <c r="AC30" s="53"/>
    </row>
    <row r="31" spans="1:29" x14ac:dyDescent="0.35">
      <c r="A31" s="53"/>
      <c r="B31" s="53"/>
      <c r="C31" s="53"/>
      <c r="D31" s="53"/>
      <c r="E31" s="53"/>
      <c r="F31" s="53"/>
      <c r="G31" s="53"/>
      <c r="H31" s="53"/>
      <c r="I31" s="71"/>
      <c r="J31" s="71"/>
      <c r="K31" s="71"/>
      <c r="L31" s="71">
        <v>0</v>
      </c>
      <c r="M31" s="71">
        <v>0</v>
      </c>
      <c r="N31" s="71"/>
      <c r="O31" s="57"/>
      <c r="P31" s="53"/>
      <c r="Q31" s="55"/>
      <c r="R31" s="53"/>
      <c r="S31" s="53"/>
      <c r="T31" s="55"/>
      <c r="U31" s="55"/>
      <c r="V31" s="53"/>
      <c r="W31" s="55"/>
      <c r="X31" s="55"/>
      <c r="Y31" s="53"/>
      <c r="Z31" s="53"/>
      <c r="AA31" s="53"/>
      <c r="AB31" s="53"/>
      <c r="AC31" s="53"/>
    </row>
    <row r="32" spans="1:29" ht="15" customHeight="1" x14ac:dyDescent="0.35">
      <c r="A32" s="53"/>
      <c r="B32" s="53"/>
      <c r="C32" s="53"/>
      <c r="D32" s="53"/>
      <c r="E32" s="53"/>
      <c r="F32" s="53"/>
      <c r="G32" s="53"/>
      <c r="H32" s="53"/>
      <c r="I32" s="71"/>
      <c r="J32" s="71"/>
      <c r="K32" s="71"/>
      <c r="L32" s="71">
        <v>0</v>
      </c>
      <c r="M32" s="71">
        <v>0</v>
      </c>
      <c r="N32" s="71"/>
      <c r="O32" s="55"/>
      <c r="P32" s="53"/>
      <c r="Q32" s="55"/>
      <c r="R32" s="53"/>
      <c r="S32" s="53"/>
      <c r="T32" s="55"/>
      <c r="U32" s="55"/>
      <c r="V32" s="53"/>
      <c r="W32" s="55"/>
      <c r="X32" s="55"/>
      <c r="Y32" s="53"/>
      <c r="Z32" s="53"/>
      <c r="AA32" s="53"/>
      <c r="AB32" s="53"/>
      <c r="AC32" s="53"/>
    </row>
    <row r="33" spans="1:29" x14ac:dyDescent="0.35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>
        <v>16538582446</v>
      </c>
      <c r="M33" s="53">
        <v>16538582446</v>
      </c>
      <c r="N33" s="53"/>
      <c r="O33" s="55"/>
      <c r="P33" s="53"/>
      <c r="Q33" s="55"/>
      <c r="R33" s="53"/>
      <c r="S33" s="53"/>
      <c r="T33" s="55"/>
      <c r="U33" s="55"/>
      <c r="V33" s="53"/>
      <c r="W33" s="55"/>
      <c r="X33" s="55"/>
      <c r="Y33" s="53"/>
      <c r="Z33" s="53"/>
      <c r="AA33" s="53"/>
      <c r="AB33" s="53"/>
      <c r="AC33" s="53"/>
    </row>
    <row r="34" spans="1:29" x14ac:dyDescent="0.35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5"/>
      <c r="P34" s="53"/>
      <c r="Q34" s="53"/>
      <c r="R34" s="53"/>
      <c r="S34" s="53"/>
      <c r="T34" s="55"/>
      <c r="U34" s="55"/>
      <c r="V34" s="53"/>
      <c r="W34" s="55"/>
      <c r="X34" s="55"/>
      <c r="Y34" s="53"/>
      <c r="Z34" s="53"/>
      <c r="AA34" s="53"/>
      <c r="AB34" s="53"/>
      <c r="AC34" s="53"/>
    </row>
    <row r="35" spans="1:29" x14ac:dyDescent="0.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>
        <v>16538582446</v>
      </c>
      <c r="M35" s="53"/>
      <c r="N35" s="53"/>
      <c r="O35" s="55"/>
      <c r="P35" s="53"/>
      <c r="Q35" s="53"/>
      <c r="R35" s="53"/>
      <c r="S35" s="53"/>
      <c r="T35" s="55"/>
      <c r="U35" s="55"/>
      <c r="V35" s="53"/>
      <c r="W35" s="55"/>
      <c r="X35" s="55"/>
      <c r="Y35" s="53"/>
      <c r="Z35" s="53"/>
      <c r="AA35" s="53"/>
      <c r="AB35" s="53"/>
      <c r="AC35" s="5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C241"/>
  <sheetViews>
    <sheetView showGridLines="0" tabSelected="1" workbookViewId="0">
      <selection activeCell="B4" sqref="B4:C6"/>
    </sheetView>
  </sheetViews>
  <sheetFormatPr baseColWidth="10" defaultColWidth="8.7265625" defaultRowHeight="14.5" x14ac:dyDescent="0.35"/>
  <cols>
    <col min="1" max="1" width="3" style="47" customWidth="1"/>
    <col min="2" max="2" width="40" style="47" customWidth="1"/>
    <col min="3" max="3" width="70" style="47" customWidth="1"/>
  </cols>
  <sheetData>
    <row r="1" spans="2:3" ht="45" customHeight="1" x14ac:dyDescent="0.35">
      <c r="B1" s="78" t="s">
        <v>227</v>
      </c>
      <c r="C1" s="74"/>
    </row>
    <row r="2" spans="2:3" ht="22" customHeight="1" x14ac:dyDescent="0.35">
      <c r="B2" s="80" t="s">
        <v>228</v>
      </c>
      <c r="C2" s="74"/>
    </row>
    <row r="4" spans="2:3" ht="30" customHeight="1" x14ac:dyDescent="0.35">
      <c r="B4" s="81" t="s">
        <v>229</v>
      </c>
      <c r="C4" s="82"/>
    </row>
    <row r="5" spans="2:3" ht="30" customHeight="1" x14ac:dyDescent="0.35">
      <c r="B5" s="83"/>
      <c r="C5" s="84"/>
    </row>
    <row r="6" spans="2:3" ht="30" customHeight="1" x14ac:dyDescent="0.35">
      <c r="B6" s="85"/>
      <c r="C6" s="86"/>
    </row>
    <row r="8" spans="2:3" x14ac:dyDescent="0.35">
      <c r="B8" s="79" t="s">
        <v>230</v>
      </c>
      <c r="C8" s="74"/>
    </row>
    <row r="9" spans="2:3" ht="20" customHeight="1" x14ac:dyDescent="0.35">
      <c r="B9" s="58" t="s">
        <v>231</v>
      </c>
      <c r="C9" s="59" t="s">
        <v>232</v>
      </c>
    </row>
    <row r="10" spans="2:3" ht="20" customHeight="1" x14ac:dyDescent="0.35">
      <c r="B10" s="58" t="s">
        <v>233</v>
      </c>
      <c r="C10" s="59" t="s">
        <v>234</v>
      </c>
    </row>
    <row r="11" spans="2:3" ht="20" customHeight="1" x14ac:dyDescent="0.35">
      <c r="B11" s="58" t="s">
        <v>235</v>
      </c>
      <c r="C11" s="59" t="s">
        <v>236</v>
      </c>
    </row>
    <row r="12" spans="2:3" ht="20" customHeight="1" x14ac:dyDescent="0.35">
      <c r="B12" s="58" t="s">
        <v>237</v>
      </c>
      <c r="C12" s="59" t="s">
        <v>238</v>
      </c>
    </row>
    <row r="13" spans="2:3" ht="20" customHeight="1" x14ac:dyDescent="0.35">
      <c r="B13" s="58" t="s">
        <v>239</v>
      </c>
      <c r="C13" s="59" t="s">
        <v>240</v>
      </c>
    </row>
    <row r="14" spans="2:3" ht="20" customHeight="1" x14ac:dyDescent="0.35">
      <c r="B14" s="58" t="s">
        <v>241</v>
      </c>
      <c r="C14" s="59" t="s">
        <v>242</v>
      </c>
    </row>
    <row r="15" spans="2:3" ht="20" customHeight="1" x14ac:dyDescent="0.35">
      <c r="B15" s="60"/>
      <c r="C15" s="61"/>
    </row>
    <row r="16" spans="2:3" ht="20" customHeight="1" x14ac:dyDescent="0.35">
      <c r="B16" s="58" t="s">
        <v>243</v>
      </c>
      <c r="C16" s="59" t="s">
        <v>244</v>
      </c>
    </row>
    <row r="18" spans="2:3" ht="22" customHeight="1" x14ac:dyDescent="0.35">
      <c r="B18" s="79" t="s">
        <v>245</v>
      </c>
      <c r="C18" s="74"/>
    </row>
    <row r="20" spans="2:3" ht="14" customHeight="1" x14ac:dyDescent="0.35">
      <c r="B20" s="77"/>
      <c r="C20" s="74"/>
    </row>
    <row r="21" spans="2:3" ht="14" customHeight="1" x14ac:dyDescent="0.35">
      <c r="B21" s="77" t="s">
        <v>246</v>
      </c>
      <c r="C21" s="74"/>
    </row>
    <row r="22" spans="2:3" ht="14" customHeight="1" x14ac:dyDescent="0.35">
      <c r="B22" s="77" t="s">
        <v>247</v>
      </c>
      <c r="C22" s="74"/>
    </row>
    <row r="23" spans="2:3" ht="14" customHeight="1" x14ac:dyDescent="0.35">
      <c r="B23" s="77" t="s">
        <v>248</v>
      </c>
      <c r="C23" s="74"/>
    </row>
    <row r="24" spans="2:3" ht="14" customHeight="1" x14ac:dyDescent="0.35">
      <c r="B24" s="77" t="s">
        <v>249</v>
      </c>
      <c r="C24" s="74"/>
    </row>
    <row r="25" spans="2:3" ht="14" customHeight="1" x14ac:dyDescent="0.35">
      <c r="B25" s="77" t="s">
        <v>250</v>
      </c>
      <c r="C25" s="74"/>
    </row>
    <row r="26" spans="2:3" ht="14" customHeight="1" x14ac:dyDescent="0.35">
      <c r="B26" s="77" t="s">
        <v>251</v>
      </c>
      <c r="C26" s="74"/>
    </row>
    <row r="27" spans="2:3" ht="14" customHeight="1" x14ac:dyDescent="0.35">
      <c r="B27" s="77" t="s">
        <v>252</v>
      </c>
      <c r="C27" s="74"/>
    </row>
    <row r="28" spans="2:3" ht="14" customHeight="1" x14ac:dyDescent="0.35">
      <c r="B28" s="77" t="s">
        <v>246</v>
      </c>
      <c r="C28" s="74"/>
    </row>
    <row r="29" spans="2:3" ht="14" customHeight="1" x14ac:dyDescent="0.35">
      <c r="B29" s="77"/>
      <c r="C29" s="74"/>
    </row>
    <row r="30" spans="2:3" ht="14" customHeight="1" x14ac:dyDescent="0.35">
      <c r="B30" s="77" t="s">
        <v>253</v>
      </c>
      <c r="C30" s="74"/>
    </row>
    <row r="31" spans="2:3" ht="14" customHeight="1" x14ac:dyDescent="0.35">
      <c r="B31" s="77" t="s">
        <v>254</v>
      </c>
      <c r="C31" s="74"/>
    </row>
    <row r="32" spans="2:3" ht="14" customHeight="1" x14ac:dyDescent="0.35">
      <c r="B32" s="77" t="s">
        <v>255</v>
      </c>
      <c r="C32" s="74"/>
    </row>
    <row r="33" spans="2:3" ht="14" customHeight="1" x14ac:dyDescent="0.35">
      <c r="B33" s="77" t="s">
        <v>256</v>
      </c>
      <c r="C33" s="74"/>
    </row>
    <row r="34" spans="2:3" ht="14" customHeight="1" x14ac:dyDescent="0.35">
      <c r="B34" s="77" t="s">
        <v>257</v>
      </c>
      <c r="C34" s="74"/>
    </row>
    <row r="35" spans="2:3" ht="14" customHeight="1" x14ac:dyDescent="0.35">
      <c r="B35" s="77" t="s">
        <v>258</v>
      </c>
      <c r="C35" s="74"/>
    </row>
    <row r="36" spans="2:3" ht="14" customHeight="1" x14ac:dyDescent="0.35">
      <c r="B36" s="77" t="s">
        <v>259</v>
      </c>
      <c r="C36" s="74"/>
    </row>
    <row r="37" spans="2:3" ht="14" customHeight="1" x14ac:dyDescent="0.35">
      <c r="B37" s="77" t="s">
        <v>260</v>
      </c>
      <c r="C37" s="74"/>
    </row>
    <row r="38" spans="2:3" ht="14" customHeight="1" x14ac:dyDescent="0.35">
      <c r="B38" s="77" t="s">
        <v>261</v>
      </c>
      <c r="C38" s="74"/>
    </row>
    <row r="39" spans="2:3" ht="14" customHeight="1" x14ac:dyDescent="0.35">
      <c r="B39" s="77" t="s">
        <v>262</v>
      </c>
      <c r="C39" s="74"/>
    </row>
    <row r="40" spans="2:3" ht="14" customHeight="1" x14ac:dyDescent="0.35">
      <c r="B40" s="77" t="s">
        <v>263</v>
      </c>
      <c r="C40" s="74"/>
    </row>
    <row r="41" spans="2:3" ht="14" customHeight="1" x14ac:dyDescent="0.35">
      <c r="B41" s="77" t="s">
        <v>261</v>
      </c>
      <c r="C41" s="74"/>
    </row>
    <row r="42" spans="2:3" ht="14" customHeight="1" x14ac:dyDescent="0.35">
      <c r="B42" s="77" t="s">
        <v>264</v>
      </c>
      <c r="C42" s="74"/>
    </row>
    <row r="43" spans="2:3" ht="14" customHeight="1" x14ac:dyDescent="0.35">
      <c r="B43" s="77" t="s">
        <v>261</v>
      </c>
      <c r="C43" s="74"/>
    </row>
    <row r="44" spans="2:3" ht="14" customHeight="1" x14ac:dyDescent="0.35">
      <c r="B44" s="77" t="s">
        <v>265</v>
      </c>
      <c r="C44" s="74"/>
    </row>
    <row r="45" spans="2:3" ht="14" customHeight="1" x14ac:dyDescent="0.35">
      <c r="B45" s="77" t="s">
        <v>266</v>
      </c>
      <c r="C45" s="74"/>
    </row>
    <row r="46" spans="2:3" ht="14" customHeight="1" x14ac:dyDescent="0.35">
      <c r="B46" s="77" t="s">
        <v>265</v>
      </c>
      <c r="C46" s="74"/>
    </row>
    <row r="47" spans="2:3" ht="14" customHeight="1" x14ac:dyDescent="0.35">
      <c r="B47" s="77" t="s">
        <v>267</v>
      </c>
      <c r="C47" s="74"/>
    </row>
    <row r="48" spans="2:3" ht="14" customHeight="1" x14ac:dyDescent="0.35">
      <c r="B48" s="77" t="s">
        <v>268</v>
      </c>
      <c r="C48" s="74"/>
    </row>
    <row r="49" spans="2:3" ht="14" customHeight="1" x14ac:dyDescent="0.35">
      <c r="B49" s="77" t="s">
        <v>261</v>
      </c>
      <c r="C49" s="74"/>
    </row>
    <row r="50" spans="2:3" ht="14" customHeight="1" x14ac:dyDescent="0.35">
      <c r="B50" s="77" t="s">
        <v>269</v>
      </c>
      <c r="C50" s="74"/>
    </row>
    <row r="51" spans="2:3" ht="14" customHeight="1" x14ac:dyDescent="0.35">
      <c r="B51" s="77" t="s">
        <v>270</v>
      </c>
      <c r="C51" s="74"/>
    </row>
    <row r="52" spans="2:3" ht="14" customHeight="1" x14ac:dyDescent="0.35">
      <c r="B52" s="77" t="s">
        <v>271</v>
      </c>
      <c r="C52" s="74"/>
    </row>
    <row r="53" spans="2:3" ht="14" customHeight="1" x14ac:dyDescent="0.35">
      <c r="B53" s="77" t="s">
        <v>261</v>
      </c>
      <c r="C53" s="74"/>
    </row>
    <row r="54" spans="2:3" ht="14" customHeight="1" x14ac:dyDescent="0.35">
      <c r="B54" s="77" t="s">
        <v>272</v>
      </c>
      <c r="C54" s="74"/>
    </row>
    <row r="55" spans="2:3" ht="14" customHeight="1" x14ac:dyDescent="0.35">
      <c r="B55" s="77" t="s">
        <v>273</v>
      </c>
      <c r="C55" s="74"/>
    </row>
    <row r="56" spans="2:3" ht="14" customHeight="1" x14ac:dyDescent="0.35">
      <c r="B56" s="77" t="s">
        <v>261</v>
      </c>
      <c r="C56" s="74"/>
    </row>
    <row r="57" spans="2:3" ht="14" customHeight="1" x14ac:dyDescent="0.35">
      <c r="B57" s="77" t="s">
        <v>274</v>
      </c>
      <c r="C57" s="74"/>
    </row>
    <row r="58" spans="2:3" ht="14" customHeight="1" x14ac:dyDescent="0.35">
      <c r="B58" s="77" t="s">
        <v>275</v>
      </c>
      <c r="C58" s="74"/>
    </row>
    <row r="59" spans="2:3" ht="14" customHeight="1" x14ac:dyDescent="0.35">
      <c r="B59" s="77" t="s">
        <v>276</v>
      </c>
      <c r="C59" s="74"/>
    </row>
    <row r="60" spans="2:3" ht="14" customHeight="1" x14ac:dyDescent="0.35">
      <c r="B60" s="77" t="s">
        <v>277</v>
      </c>
      <c r="C60" s="74"/>
    </row>
    <row r="61" spans="2:3" ht="14" customHeight="1" x14ac:dyDescent="0.35">
      <c r="B61" s="77" t="s">
        <v>278</v>
      </c>
      <c r="C61" s="74"/>
    </row>
    <row r="62" spans="2:3" ht="14" customHeight="1" x14ac:dyDescent="0.35">
      <c r="B62" s="77" t="s">
        <v>279</v>
      </c>
      <c r="C62" s="74"/>
    </row>
    <row r="63" spans="2:3" ht="14" customHeight="1" x14ac:dyDescent="0.35">
      <c r="B63" s="77" t="s">
        <v>280</v>
      </c>
      <c r="C63" s="74"/>
    </row>
    <row r="64" spans="2:3" ht="14" customHeight="1" x14ac:dyDescent="0.35">
      <c r="B64" s="77" t="s">
        <v>281</v>
      </c>
      <c r="C64" s="74"/>
    </row>
    <row r="65" spans="2:3" ht="14" customHeight="1" x14ac:dyDescent="0.35">
      <c r="B65" s="77" t="s">
        <v>282</v>
      </c>
      <c r="C65" s="74"/>
    </row>
    <row r="66" spans="2:3" ht="14" customHeight="1" x14ac:dyDescent="0.35">
      <c r="B66" s="77" t="s">
        <v>278</v>
      </c>
      <c r="C66" s="74"/>
    </row>
    <row r="67" spans="2:3" ht="14" customHeight="1" x14ac:dyDescent="0.35">
      <c r="B67" s="77" t="s">
        <v>283</v>
      </c>
      <c r="C67" s="74"/>
    </row>
    <row r="68" spans="2:3" ht="14" customHeight="1" x14ac:dyDescent="0.35">
      <c r="B68" s="77" t="s">
        <v>284</v>
      </c>
      <c r="C68" s="74"/>
    </row>
    <row r="69" spans="2:3" ht="14" customHeight="1" x14ac:dyDescent="0.35">
      <c r="B69" s="77" t="s">
        <v>285</v>
      </c>
      <c r="C69" s="74"/>
    </row>
    <row r="70" spans="2:3" ht="14" customHeight="1" x14ac:dyDescent="0.35">
      <c r="B70" s="77" t="s">
        <v>286</v>
      </c>
      <c r="C70" s="74"/>
    </row>
    <row r="71" spans="2:3" ht="14" customHeight="1" x14ac:dyDescent="0.35">
      <c r="B71" s="77" t="s">
        <v>287</v>
      </c>
      <c r="C71" s="74"/>
    </row>
    <row r="72" spans="2:3" ht="14" customHeight="1" x14ac:dyDescent="0.35">
      <c r="B72" s="77" t="s">
        <v>288</v>
      </c>
      <c r="C72" s="74"/>
    </row>
    <row r="73" spans="2:3" ht="14" customHeight="1" x14ac:dyDescent="0.35">
      <c r="B73" s="77" t="s">
        <v>278</v>
      </c>
      <c r="C73" s="74"/>
    </row>
    <row r="74" spans="2:3" ht="14" customHeight="1" x14ac:dyDescent="0.35">
      <c r="B74" s="77" t="s">
        <v>289</v>
      </c>
      <c r="C74" s="74"/>
    </row>
    <row r="75" spans="2:3" ht="14" customHeight="1" x14ac:dyDescent="0.35">
      <c r="B75" s="77" t="s">
        <v>290</v>
      </c>
      <c r="C75" s="74"/>
    </row>
    <row r="76" spans="2:3" ht="14" customHeight="1" x14ac:dyDescent="0.35">
      <c r="B76" s="77" t="s">
        <v>291</v>
      </c>
      <c r="C76" s="74"/>
    </row>
    <row r="77" spans="2:3" ht="14" customHeight="1" x14ac:dyDescent="0.35">
      <c r="B77" s="77" t="s">
        <v>292</v>
      </c>
      <c r="C77" s="74"/>
    </row>
    <row r="78" spans="2:3" ht="14" customHeight="1" x14ac:dyDescent="0.35">
      <c r="B78" s="77" t="s">
        <v>293</v>
      </c>
      <c r="C78" s="74"/>
    </row>
    <row r="79" spans="2:3" ht="14" customHeight="1" x14ac:dyDescent="0.35">
      <c r="B79" s="77" t="s">
        <v>278</v>
      </c>
      <c r="C79" s="74"/>
    </row>
    <row r="80" spans="2:3" ht="14" customHeight="1" x14ac:dyDescent="0.35">
      <c r="B80" s="77" t="s">
        <v>294</v>
      </c>
      <c r="C80" s="74"/>
    </row>
    <row r="81" spans="2:3" ht="14" customHeight="1" x14ac:dyDescent="0.35">
      <c r="B81" s="77" t="s">
        <v>295</v>
      </c>
      <c r="C81" s="74"/>
    </row>
    <row r="82" spans="2:3" ht="14" customHeight="1" x14ac:dyDescent="0.35">
      <c r="B82" s="77" t="s">
        <v>296</v>
      </c>
      <c r="C82" s="74"/>
    </row>
    <row r="83" spans="2:3" ht="14" customHeight="1" x14ac:dyDescent="0.35">
      <c r="B83" s="77" t="s">
        <v>297</v>
      </c>
      <c r="C83" s="74"/>
    </row>
    <row r="84" spans="2:3" ht="14" customHeight="1" x14ac:dyDescent="0.35">
      <c r="B84" s="77" t="s">
        <v>298</v>
      </c>
      <c r="C84" s="74"/>
    </row>
    <row r="85" spans="2:3" ht="14" customHeight="1" x14ac:dyDescent="0.35">
      <c r="B85" s="77" t="s">
        <v>278</v>
      </c>
      <c r="C85" s="74"/>
    </row>
    <row r="86" spans="2:3" ht="14" customHeight="1" x14ac:dyDescent="0.35">
      <c r="B86" s="77" t="s">
        <v>299</v>
      </c>
      <c r="C86" s="74"/>
    </row>
    <row r="87" spans="2:3" ht="14" customHeight="1" x14ac:dyDescent="0.35">
      <c r="B87" s="77" t="s">
        <v>300</v>
      </c>
      <c r="C87" s="74"/>
    </row>
    <row r="88" spans="2:3" ht="14" customHeight="1" x14ac:dyDescent="0.35">
      <c r="B88" s="77" t="s">
        <v>301</v>
      </c>
      <c r="C88" s="74"/>
    </row>
    <row r="89" spans="2:3" ht="14" customHeight="1" x14ac:dyDescent="0.35">
      <c r="B89" s="77" t="s">
        <v>302</v>
      </c>
      <c r="C89" s="74"/>
    </row>
    <row r="90" spans="2:3" ht="14" customHeight="1" x14ac:dyDescent="0.35">
      <c r="B90" s="77" t="s">
        <v>303</v>
      </c>
      <c r="C90" s="74"/>
    </row>
    <row r="91" spans="2:3" ht="14" customHeight="1" x14ac:dyDescent="0.35">
      <c r="B91" s="77" t="s">
        <v>278</v>
      </c>
      <c r="C91" s="74"/>
    </row>
    <row r="92" spans="2:3" ht="14" customHeight="1" x14ac:dyDescent="0.35">
      <c r="B92" s="77" t="s">
        <v>304</v>
      </c>
      <c r="C92" s="74"/>
    </row>
    <row r="93" spans="2:3" ht="14" customHeight="1" x14ac:dyDescent="0.35">
      <c r="B93" s="77" t="s">
        <v>305</v>
      </c>
      <c r="C93" s="74"/>
    </row>
    <row r="94" spans="2:3" ht="14" customHeight="1" x14ac:dyDescent="0.35">
      <c r="B94" s="77" t="s">
        <v>306</v>
      </c>
      <c r="C94" s="74"/>
    </row>
    <row r="95" spans="2:3" ht="14" customHeight="1" x14ac:dyDescent="0.35">
      <c r="B95" s="77" t="s">
        <v>278</v>
      </c>
      <c r="C95" s="74"/>
    </row>
    <row r="96" spans="2:3" ht="14" customHeight="1" x14ac:dyDescent="0.35">
      <c r="B96" s="77" t="s">
        <v>307</v>
      </c>
      <c r="C96" s="74"/>
    </row>
    <row r="97" spans="2:3" ht="14" customHeight="1" x14ac:dyDescent="0.35">
      <c r="B97" s="77" t="s">
        <v>308</v>
      </c>
      <c r="C97" s="74"/>
    </row>
    <row r="98" spans="2:3" ht="14" customHeight="1" x14ac:dyDescent="0.35">
      <c r="B98" s="77" t="s">
        <v>309</v>
      </c>
      <c r="C98" s="74"/>
    </row>
    <row r="99" spans="2:3" ht="14" customHeight="1" x14ac:dyDescent="0.35">
      <c r="B99" s="77" t="s">
        <v>310</v>
      </c>
      <c r="C99" s="74"/>
    </row>
    <row r="100" spans="2:3" ht="14" customHeight="1" x14ac:dyDescent="0.35">
      <c r="B100" s="77" t="s">
        <v>311</v>
      </c>
      <c r="C100" s="74"/>
    </row>
    <row r="101" spans="2:3" ht="14" customHeight="1" x14ac:dyDescent="0.35">
      <c r="B101" s="77" t="s">
        <v>312</v>
      </c>
      <c r="C101" s="74"/>
    </row>
    <row r="102" spans="2:3" ht="14" customHeight="1" x14ac:dyDescent="0.35">
      <c r="B102" s="77" t="s">
        <v>313</v>
      </c>
      <c r="C102" s="74"/>
    </row>
    <row r="103" spans="2:3" ht="14" customHeight="1" x14ac:dyDescent="0.35">
      <c r="B103" s="77" t="s">
        <v>314</v>
      </c>
      <c r="C103" s="74"/>
    </row>
    <row r="104" spans="2:3" ht="14" customHeight="1" x14ac:dyDescent="0.35">
      <c r="B104" s="77" t="s">
        <v>315</v>
      </c>
      <c r="C104" s="74"/>
    </row>
    <row r="105" spans="2:3" ht="14" customHeight="1" x14ac:dyDescent="0.35">
      <c r="B105" s="77" t="s">
        <v>316</v>
      </c>
      <c r="C105" s="74"/>
    </row>
    <row r="106" spans="2:3" ht="14" customHeight="1" x14ac:dyDescent="0.35">
      <c r="B106" s="77" t="s">
        <v>317</v>
      </c>
      <c r="C106" s="74"/>
    </row>
    <row r="107" spans="2:3" ht="14" customHeight="1" x14ac:dyDescent="0.35">
      <c r="B107" s="77" t="s">
        <v>318</v>
      </c>
      <c r="C107" s="74"/>
    </row>
    <row r="108" spans="2:3" ht="14" customHeight="1" x14ac:dyDescent="0.35">
      <c r="B108" s="77" t="s">
        <v>319</v>
      </c>
      <c r="C108" s="74"/>
    </row>
    <row r="109" spans="2:3" ht="14" customHeight="1" x14ac:dyDescent="0.35">
      <c r="B109" s="77" t="s">
        <v>320</v>
      </c>
      <c r="C109" s="74"/>
    </row>
    <row r="110" spans="2:3" ht="14" customHeight="1" x14ac:dyDescent="0.35">
      <c r="B110" s="77" t="s">
        <v>321</v>
      </c>
      <c r="C110" s="74"/>
    </row>
    <row r="111" spans="2:3" ht="14" customHeight="1" x14ac:dyDescent="0.35">
      <c r="B111" s="77" t="s">
        <v>322</v>
      </c>
      <c r="C111" s="74"/>
    </row>
    <row r="112" spans="2:3" ht="14" customHeight="1" x14ac:dyDescent="0.35">
      <c r="B112" s="77" t="s">
        <v>323</v>
      </c>
      <c r="C112" s="74"/>
    </row>
    <row r="113" spans="2:3" ht="14" customHeight="1" x14ac:dyDescent="0.35">
      <c r="B113" s="77" t="s">
        <v>324</v>
      </c>
      <c r="C113" s="74"/>
    </row>
    <row r="114" spans="2:3" ht="14" customHeight="1" x14ac:dyDescent="0.35">
      <c r="B114" s="77" t="s">
        <v>278</v>
      </c>
      <c r="C114" s="74"/>
    </row>
    <row r="115" spans="2:3" ht="14" customHeight="1" x14ac:dyDescent="0.35">
      <c r="B115" s="77" t="s">
        <v>325</v>
      </c>
      <c r="C115" s="74"/>
    </row>
    <row r="116" spans="2:3" ht="14" customHeight="1" x14ac:dyDescent="0.35">
      <c r="B116" s="77" t="s">
        <v>326</v>
      </c>
      <c r="C116" s="74"/>
    </row>
    <row r="117" spans="2:3" ht="14" customHeight="1" x14ac:dyDescent="0.35">
      <c r="B117" s="77" t="s">
        <v>325</v>
      </c>
      <c r="C117" s="74"/>
    </row>
    <row r="118" spans="2:3" ht="14" customHeight="1" x14ac:dyDescent="0.35">
      <c r="B118" s="77" t="s">
        <v>327</v>
      </c>
      <c r="C118" s="74"/>
    </row>
    <row r="119" spans="2:3" ht="14" customHeight="1" x14ac:dyDescent="0.35">
      <c r="B119" s="77" t="s">
        <v>328</v>
      </c>
      <c r="C119" s="74"/>
    </row>
    <row r="120" spans="2:3" ht="14" customHeight="1" x14ac:dyDescent="0.35">
      <c r="B120" s="77" t="s">
        <v>329</v>
      </c>
      <c r="C120" s="74"/>
    </row>
    <row r="121" spans="2:3" ht="14" customHeight="1" x14ac:dyDescent="0.35">
      <c r="B121" s="77" t="s">
        <v>278</v>
      </c>
      <c r="C121" s="74"/>
    </row>
    <row r="122" spans="2:3" ht="14" customHeight="1" x14ac:dyDescent="0.35">
      <c r="B122" s="77" t="s">
        <v>330</v>
      </c>
      <c r="C122" s="74"/>
    </row>
    <row r="123" spans="2:3" ht="14" customHeight="1" x14ac:dyDescent="0.35">
      <c r="B123" s="77" t="s">
        <v>331</v>
      </c>
      <c r="C123" s="74"/>
    </row>
    <row r="124" spans="2:3" ht="14" customHeight="1" x14ac:dyDescent="0.35">
      <c r="B124" s="77" t="s">
        <v>332</v>
      </c>
      <c r="C124" s="74"/>
    </row>
    <row r="125" spans="2:3" ht="14" customHeight="1" x14ac:dyDescent="0.35">
      <c r="B125" s="77" t="s">
        <v>278</v>
      </c>
      <c r="C125" s="74"/>
    </row>
    <row r="126" spans="2:3" ht="14" customHeight="1" x14ac:dyDescent="0.35">
      <c r="B126" s="77" t="s">
        <v>333</v>
      </c>
      <c r="C126" s="74"/>
    </row>
    <row r="127" spans="2:3" ht="14" customHeight="1" x14ac:dyDescent="0.35">
      <c r="B127" s="77" t="s">
        <v>334</v>
      </c>
      <c r="C127" s="74"/>
    </row>
    <row r="128" spans="2:3" ht="14" customHeight="1" x14ac:dyDescent="0.35">
      <c r="B128" s="77" t="s">
        <v>335</v>
      </c>
      <c r="C128" s="74"/>
    </row>
    <row r="129" spans="2:3" ht="14" customHeight="1" x14ac:dyDescent="0.35">
      <c r="B129" s="77" t="s">
        <v>336</v>
      </c>
      <c r="C129" s="74"/>
    </row>
    <row r="130" spans="2:3" ht="14" customHeight="1" x14ac:dyDescent="0.35">
      <c r="B130" s="77" t="s">
        <v>337</v>
      </c>
      <c r="C130" s="74"/>
    </row>
    <row r="131" spans="2:3" ht="14" customHeight="1" x14ac:dyDescent="0.35">
      <c r="B131" s="77" t="s">
        <v>338</v>
      </c>
      <c r="C131" s="74"/>
    </row>
    <row r="132" spans="2:3" ht="14" customHeight="1" x14ac:dyDescent="0.35">
      <c r="B132" s="77" t="s">
        <v>339</v>
      </c>
      <c r="C132" s="74"/>
    </row>
    <row r="133" spans="2:3" ht="14" customHeight="1" x14ac:dyDescent="0.35">
      <c r="B133" s="77" t="s">
        <v>340</v>
      </c>
      <c r="C133" s="74"/>
    </row>
    <row r="134" spans="2:3" ht="14" customHeight="1" x14ac:dyDescent="0.35">
      <c r="B134" s="77" t="s">
        <v>338</v>
      </c>
      <c r="C134" s="74"/>
    </row>
    <row r="135" spans="2:3" ht="14" customHeight="1" x14ac:dyDescent="0.35">
      <c r="B135" s="77" t="s">
        <v>341</v>
      </c>
      <c r="C135" s="74"/>
    </row>
    <row r="136" spans="2:3" ht="14" customHeight="1" x14ac:dyDescent="0.35">
      <c r="B136" s="77" t="s">
        <v>342</v>
      </c>
      <c r="C136" s="74"/>
    </row>
    <row r="137" spans="2:3" ht="14" customHeight="1" x14ac:dyDescent="0.35">
      <c r="B137" s="77" t="s">
        <v>343</v>
      </c>
      <c r="C137" s="74"/>
    </row>
    <row r="138" spans="2:3" ht="14" customHeight="1" x14ac:dyDescent="0.35">
      <c r="B138" s="77" t="s">
        <v>344</v>
      </c>
      <c r="C138" s="74"/>
    </row>
    <row r="139" spans="2:3" ht="14" customHeight="1" x14ac:dyDescent="0.35">
      <c r="B139" s="77" t="s">
        <v>345</v>
      </c>
      <c r="C139" s="74"/>
    </row>
    <row r="140" spans="2:3" ht="14" customHeight="1" x14ac:dyDescent="0.35">
      <c r="B140" s="77" t="s">
        <v>346</v>
      </c>
      <c r="C140" s="74"/>
    </row>
    <row r="141" spans="2:3" ht="14" customHeight="1" x14ac:dyDescent="0.35">
      <c r="B141" s="77" t="s">
        <v>347</v>
      </c>
      <c r="C141" s="74"/>
    </row>
    <row r="142" spans="2:3" ht="14" customHeight="1" x14ac:dyDescent="0.35">
      <c r="B142" s="77" t="s">
        <v>345</v>
      </c>
      <c r="C142" s="74"/>
    </row>
    <row r="143" spans="2:3" ht="14" customHeight="1" x14ac:dyDescent="0.35">
      <c r="B143" s="77" t="s">
        <v>348</v>
      </c>
      <c r="C143" s="74"/>
    </row>
    <row r="144" spans="2:3" ht="14" customHeight="1" x14ac:dyDescent="0.35">
      <c r="B144" s="77" t="s">
        <v>349</v>
      </c>
      <c r="C144" s="74"/>
    </row>
    <row r="145" spans="2:3" ht="14" customHeight="1" x14ac:dyDescent="0.35">
      <c r="B145" s="77" t="s">
        <v>345</v>
      </c>
      <c r="C145" s="74"/>
    </row>
    <row r="146" spans="2:3" ht="14" customHeight="1" x14ac:dyDescent="0.35">
      <c r="B146" s="77" t="s">
        <v>350</v>
      </c>
      <c r="C146" s="74"/>
    </row>
    <row r="147" spans="2:3" ht="14" customHeight="1" x14ac:dyDescent="0.35">
      <c r="B147" s="77" t="s">
        <v>351</v>
      </c>
      <c r="C147" s="74"/>
    </row>
    <row r="148" spans="2:3" ht="14" customHeight="1" x14ac:dyDescent="0.35">
      <c r="B148" s="77" t="s">
        <v>345</v>
      </c>
      <c r="C148" s="74"/>
    </row>
    <row r="149" spans="2:3" ht="14" customHeight="1" x14ac:dyDescent="0.35">
      <c r="B149" s="77" t="s">
        <v>352</v>
      </c>
      <c r="C149" s="74"/>
    </row>
    <row r="150" spans="2:3" ht="14" customHeight="1" x14ac:dyDescent="0.35">
      <c r="B150" s="77" t="s">
        <v>353</v>
      </c>
      <c r="C150" s="74"/>
    </row>
    <row r="151" spans="2:3" ht="14" customHeight="1" x14ac:dyDescent="0.35">
      <c r="B151" s="77" t="s">
        <v>345</v>
      </c>
      <c r="C151" s="74"/>
    </row>
    <row r="152" spans="2:3" ht="14" customHeight="1" x14ac:dyDescent="0.35">
      <c r="B152" s="77" t="s">
        <v>354</v>
      </c>
      <c r="C152" s="74"/>
    </row>
    <row r="153" spans="2:3" ht="14" customHeight="1" x14ac:dyDescent="0.35">
      <c r="B153" s="77" t="s">
        <v>355</v>
      </c>
      <c r="C153" s="74"/>
    </row>
    <row r="154" spans="2:3" ht="14" customHeight="1" x14ac:dyDescent="0.35">
      <c r="B154" s="77" t="s">
        <v>345</v>
      </c>
      <c r="C154" s="74"/>
    </row>
    <row r="155" spans="2:3" ht="14" customHeight="1" x14ac:dyDescent="0.35">
      <c r="B155" s="77" t="s">
        <v>356</v>
      </c>
      <c r="C155" s="74"/>
    </row>
    <row r="156" spans="2:3" ht="14" customHeight="1" x14ac:dyDescent="0.35">
      <c r="B156" s="77" t="s">
        <v>357</v>
      </c>
      <c r="C156" s="74"/>
    </row>
    <row r="157" spans="2:3" ht="14" customHeight="1" x14ac:dyDescent="0.35">
      <c r="B157" s="77" t="s">
        <v>345</v>
      </c>
      <c r="C157" s="74"/>
    </row>
    <row r="158" spans="2:3" ht="14" customHeight="1" x14ac:dyDescent="0.35">
      <c r="B158" s="77" t="s">
        <v>358</v>
      </c>
      <c r="C158" s="74"/>
    </row>
    <row r="159" spans="2:3" ht="14" customHeight="1" x14ac:dyDescent="0.35">
      <c r="B159" s="77" t="s">
        <v>359</v>
      </c>
      <c r="C159" s="74"/>
    </row>
    <row r="160" spans="2:3" ht="14" customHeight="1" x14ac:dyDescent="0.35">
      <c r="B160" s="77" t="s">
        <v>345</v>
      </c>
      <c r="C160" s="74"/>
    </row>
    <row r="161" spans="2:3" ht="14" customHeight="1" x14ac:dyDescent="0.35">
      <c r="B161" s="77" t="s">
        <v>360</v>
      </c>
      <c r="C161" s="74"/>
    </row>
    <row r="162" spans="2:3" ht="14" customHeight="1" x14ac:dyDescent="0.35">
      <c r="B162" s="77" t="s">
        <v>361</v>
      </c>
      <c r="C162" s="74"/>
    </row>
    <row r="163" spans="2:3" ht="14" customHeight="1" x14ac:dyDescent="0.35">
      <c r="B163" s="77" t="s">
        <v>362</v>
      </c>
      <c r="C163" s="74"/>
    </row>
    <row r="164" spans="2:3" ht="14" customHeight="1" x14ac:dyDescent="0.35">
      <c r="B164" s="77" t="s">
        <v>363</v>
      </c>
      <c r="C164" s="74"/>
    </row>
    <row r="165" spans="2:3" ht="14" customHeight="1" x14ac:dyDescent="0.35">
      <c r="B165" s="77" t="s">
        <v>364</v>
      </c>
      <c r="C165" s="74"/>
    </row>
    <row r="166" spans="2:3" ht="14" customHeight="1" x14ac:dyDescent="0.35">
      <c r="B166" s="77" t="s">
        <v>365</v>
      </c>
      <c r="C166" s="74"/>
    </row>
    <row r="167" spans="2:3" ht="14" customHeight="1" x14ac:dyDescent="0.35">
      <c r="B167" s="77" t="s">
        <v>366</v>
      </c>
      <c r="C167" s="74"/>
    </row>
    <row r="168" spans="2:3" ht="14" customHeight="1" x14ac:dyDescent="0.35">
      <c r="B168" s="77" t="s">
        <v>367</v>
      </c>
      <c r="C168" s="74"/>
    </row>
    <row r="169" spans="2:3" ht="14" customHeight="1" x14ac:dyDescent="0.35">
      <c r="B169" s="77" t="s">
        <v>368</v>
      </c>
      <c r="C169" s="74"/>
    </row>
    <row r="170" spans="2:3" ht="14" customHeight="1" x14ac:dyDescent="0.35">
      <c r="B170" s="77" t="s">
        <v>369</v>
      </c>
      <c r="C170" s="74"/>
    </row>
    <row r="171" spans="2:3" ht="14" customHeight="1" x14ac:dyDescent="0.35">
      <c r="B171" s="77" t="s">
        <v>370</v>
      </c>
      <c r="C171" s="74"/>
    </row>
    <row r="172" spans="2:3" ht="14" customHeight="1" x14ac:dyDescent="0.35">
      <c r="B172" s="77" t="s">
        <v>371</v>
      </c>
      <c r="C172" s="74"/>
    </row>
    <row r="173" spans="2:3" ht="14" customHeight="1" x14ac:dyDescent="0.35">
      <c r="B173" s="77" t="s">
        <v>338</v>
      </c>
      <c r="C173" s="74"/>
    </row>
    <row r="174" spans="2:3" ht="14" customHeight="1" x14ac:dyDescent="0.35">
      <c r="B174" s="77" t="s">
        <v>372</v>
      </c>
      <c r="C174" s="74"/>
    </row>
    <row r="175" spans="2:3" ht="14" customHeight="1" x14ac:dyDescent="0.35">
      <c r="B175" s="77" t="s">
        <v>373</v>
      </c>
      <c r="C175" s="74"/>
    </row>
    <row r="176" spans="2:3" ht="14" customHeight="1" x14ac:dyDescent="0.35">
      <c r="B176" s="77" t="s">
        <v>281</v>
      </c>
      <c r="C176" s="74"/>
    </row>
    <row r="177" spans="2:3" ht="14" customHeight="1" x14ac:dyDescent="0.35">
      <c r="B177" s="77" t="s">
        <v>278</v>
      </c>
      <c r="C177" s="74"/>
    </row>
    <row r="178" spans="2:3" ht="14" customHeight="1" x14ac:dyDescent="0.35">
      <c r="B178" s="77" t="s">
        <v>374</v>
      </c>
      <c r="C178" s="74"/>
    </row>
    <row r="179" spans="2:3" ht="14" customHeight="1" x14ac:dyDescent="0.35">
      <c r="B179" s="77" t="s">
        <v>375</v>
      </c>
      <c r="C179" s="74"/>
    </row>
    <row r="180" spans="2:3" ht="14" customHeight="1" x14ac:dyDescent="0.35">
      <c r="B180" s="77" t="s">
        <v>376</v>
      </c>
      <c r="C180" s="74"/>
    </row>
    <row r="181" spans="2:3" ht="14" customHeight="1" x14ac:dyDescent="0.35">
      <c r="B181" s="77" t="s">
        <v>330</v>
      </c>
      <c r="C181" s="74"/>
    </row>
    <row r="182" spans="2:3" ht="14" customHeight="1" x14ac:dyDescent="0.35">
      <c r="B182" s="77" t="s">
        <v>331</v>
      </c>
      <c r="C182" s="74"/>
    </row>
    <row r="183" spans="2:3" ht="14" customHeight="1" x14ac:dyDescent="0.35">
      <c r="B183" s="77" t="s">
        <v>333</v>
      </c>
      <c r="C183" s="74"/>
    </row>
    <row r="184" spans="2:3" ht="14" customHeight="1" x14ac:dyDescent="0.35">
      <c r="B184" s="77" t="s">
        <v>377</v>
      </c>
      <c r="C184" s="74"/>
    </row>
    <row r="185" spans="2:3" ht="14" customHeight="1" x14ac:dyDescent="0.35">
      <c r="B185" s="77" t="s">
        <v>378</v>
      </c>
      <c r="C185" s="74"/>
    </row>
    <row r="186" spans="2:3" ht="14" customHeight="1" x14ac:dyDescent="0.35">
      <c r="B186" s="77" t="s">
        <v>379</v>
      </c>
      <c r="C186" s="74"/>
    </row>
    <row r="187" spans="2:3" ht="14" customHeight="1" x14ac:dyDescent="0.35">
      <c r="B187" s="77" t="s">
        <v>380</v>
      </c>
      <c r="C187" s="74"/>
    </row>
    <row r="188" spans="2:3" ht="14" customHeight="1" x14ac:dyDescent="0.35">
      <c r="B188" s="77" t="s">
        <v>381</v>
      </c>
      <c r="C188" s="74"/>
    </row>
    <row r="189" spans="2:3" ht="14" customHeight="1" x14ac:dyDescent="0.35">
      <c r="B189" s="77" t="s">
        <v>373</v>
      </c>
      <c r="C189" s="74"/>
    </row>
    <row r="190" spans="2:3" ht="14" customHeight="1" x14ac:dyDescent="0.35">
      <c r="B190" s="77" t="s">
        <v>281</v>
      </c>
      <c r="C190" s="74"/>
    </row>
    <row r="191" spans="2:3" ht="14" customHeight="1" x14ac:dyDescent="0.35">
      <c r="B191" s="77" t="s">
        <v>332</v>
      </c>
      <c r="C191" s="74"/>
    </row>
    <row r="192" spans="2:3" ht="14" customHeight="1" x14ac:dyDescent="0.35">
      <c r="B192" s="77" t="s">
        <v>278</v>
      </c>
      <c r="C192" s="74"/>
    </row>
    <row r="193" spans="2:3" ht="14" customHeight="1" x14ac:dyDescent="0.35">
      <c r="B193" s="77" t="s">
        <v>382</v>
      </c>
      <c r="C193" s="74"/>
    </row>
    <row r="194" spans="2:3" ht="14" customHeight="1" x14ac:dyDescent="0.35">
      <c r="B194" s="77" t="s">
        <v>383</v>
      </c>
      <c r="C194" s="74"/>
    </row>
    <row r="195" spans="2:3" ht="14" customHeight="1" x14ac:dyDescent="0.35">
      <c r="B195" s="77" t="s">
        <v>384</v>
      </c>
      <c r="C195" s="74"/>
    </row>
    <row r="196" spans="2:3" ht="14" customHeight="1" x14ac:dyDescent="0.35">
      <c r="B196" s="77" t="s">
        <v>385</v>
      </c>
      <c r="C196" s="74"/>
    </row>
    <row r="197" spans="2:3" ht="14" customHeight="1" x14ac:dyDescent="0.35">
      <c r="B197" s="77" t="s">
        <v>386</v>
      </c>
      <c r="C197" s="74"/>
    </row>
    <row r="198" spans="2:3" ht="14" customHeight="1" x14ac:dyDescent="0.35">
      <c r="B198" s="77" t="s">
        <v>261</v>
      </c>
      <c r="C198" s="74"/>
    </row>
    <row r="199" spans="2:3" ht="14" customHeight="1" x14ac:dyDescent="0.35">
      <c r="B199" s="77" t="s">
        <v>387</v>
      </c>
      <c r="C199" s="74"/>
    </row>
    <row r="200" spans="2:3" ht="14" customHeight="1" x14ac:dyDescent="0.35">
      <c r="B200" s="77" t="s">
        <v>261</v>
      </c>
      <c r="C200" s="74"/>
    </row>
    <row r="201" spans="2:3" ht="14" customHeight="1" x14ac:dyDescent="0.35">
      <c r="B201" s="77" t="s">
        <v>265</v>
      </c>
      <c r="C201" s="74"/>
    </row>
    <row r="202" spans="2:3" ht="14" customHeight="1" x14ac:dyDescent="0.35">
      <c r="B202" s="77" t="s">
        <v>388</v>
      </c>
      <c r="C202" s="74"/>
    </row>
    <row r="203" spans="2:3" ht="14" customHeight="1" x14ac:dyDescent="0.35">
      <c r="B203" s="77" t="s">
        <v>265</v>
      </c>
      <c r="C203" s="74"/>
    </row>
    <row r="204" spans="2:3" ht="14" customHeight="1" x14ac:dyDescent="0.35">
      <c r="B204" s="77" t="s">
        <v>389</v>
      </c>
      <c r="C204" s="74"/>
    </row>
    <row r="205" spans="2:3" ht="14" customHeight="1" x14ac:dyDescent="0.35">
      <c r="B205" s="77" t="s">
        <v>390</v>
      </c>
      <c r="C205" s="74"/>
    </row>
    <row r="206" spans="2:3" ht="14" customHeight="1" x14ac:dyDescent="0.35">
      <c r="B206" s="77" t="s">
        <v>391</v>
      </c>
      <c r="C206" s="74"/>
    </row>
    <row r="207" spans="2:3" ht="14" customHeight="1" x14ac:dyDescent="0.35">
      <c r="B207" s="77" t="s">
        <v>392</v>
      </c>
      <c r="C207" s="74"/>
    </row>
    <row r="208" spans="2:3" ht="14" customHeight="1" x14ac:dyDescent="0.35">
      <c r="B208" s="77" t="s">
        <v>393</v>
      </c>
      <c r="C208" s="74"/>
    </row>
    <row r="209" spans="2:3" ht="14" customHeight="1" x14ac:dyDescent="0.35">
      <c r="B209" s="77" t="s">
        <v>261</v>
      </c>
      <c r="C209" s="74"/>
    </row>
    <row r="210" spans="2:3" ht="14" customHeight="1" x14ac:dyDescent="0.35">
      <c r="B210" s="77" t="s">
        <v>394</v>
      </c>
      <c r="C210" s="74"/>
    </row>
    <row r="211" spans="2:3" ht="14" customHeight="1" x14ac:dyDescent="0.35">
      <c r="B211" s="77" t="s">
        <v>395</v>
      </c>
      <c r="C211" s="74"/>
    </row>
    <row r="212" spans="2:3" ht="14" customHeight="1" x14ac:dyDescent="0.35">
      <c r="B212" s="77" t="s">
        <v>396</v>
      </c>
      <c r="C212" s="74"/>
    </row>
    <row r="213" spans="2:3" ht="14" customHeight="1" x14ac:dyDescent="0.35">
      <c r="B213" s="77" t="s">
        <v>397</v>
      </c>
      <c r="C213" s="74"/>
    </row>
    <row r="214" spans="2:3" ht="14" customHeight="1" x14ac:dyDescent="0.35">
      <c r="B214" s="77" t="s">
        <v>398</v>
      </c>
      <c r="C214" s="74"/>
    </row>
    <row r="215" spans="2:3" ht="14" customHeight="1" x14ac:dyDescent="0.35">
      <c r="B215" s="77" t="s">
        <v>399</v>
      </c>
      <c r="C215" s="74"/>
    </row>
    <row r="216" spans="2:3" ht="14" customHeight="1" x14ac:dyDescent="0.35">
      <c r="B216" s="77" t="s">
        <v>261</v>
      </c>
      <c r="C216" s="74"/>
    </row>
    <row r="217" spans="2:3" ht="14" customHeight="1" x14ac:dyDescent="0.35">
      <c r="B217" s="77" t="s">
        <v>400</v>
      </c>
      <c r="C217" s="74"/>
    </row>
    <row r="218" spans="2:3" ht="14" customHeight="1" x14ac:dyDescent="0.35">
      <c r="B218" s="77" t="s">
        <v>401</v>
      </c>
      <c r="C218" s="74"/>
    </row>
    <row r="219" spans="2:3" ht="14" customHeight="1" x14ac:dyDescent="0.35">
      <c r="B219" s="77" t="s">
        <v>402</v>
      </c>
      <c r="C219" s="74"/>
    </row>
    <row r="220" spans="2:3" ht="14" customHeight="1" x14ac:dyDescent="0.35">
      <c r="B220" s="77"/>
      <c r="C220" s="74"/>
    </row>
    <row r="221" spans="2:3" ht="14" customHeight="1" x14ac:dyDescent="0.35">
      <c r="B221" s="77" t="s">
        <v>403</v>
      </c>
      <c r="C221" s="74"/>
    </row>
    <row r="222" spans="2:3" ht="14" customHeight="1" x14ac:dyDescent="0.35">
      <c r="B222" s="77" t="s">
        <v>404</v>
      </c>
      <c r="C222" s="74"/>
    </row>
    <row r="223" spans="2:3" ht="14" customHeight="1" x14ac:dyDescent="0.35">
      <c r="B223" s="77" t="s">
        <v>403</v>
      </c>
      <c r="C223" s="74"/>
    </row>
    <row r="224" spans="2:3" ht="14" customHeight="1" x14ac:dyDescent="0.35">
      <c r="B224" s="77" t="s">
        <v>405</v>
      </c>
      <c r="C224" s="74"/>
    </row>
    <row r="225" spans="2:3" ht="14" customHeight="1" x14ac:dyDescent="0.35">
      <c r="B225" s="77" t="s">
        <v>406</v>
      </c>
      <c r="C225" s="74"/>
    </row>
    <row r="226" spans="2:3" ht="14" customHeight="1" x14ac:dyDescent="0.35">
      <c r="B226" s="77" t="s">
        <v>407</v>
      </c>
      <c r="C226" s="74"/>
    </row>
    <row r="227" spans="2:3" ht="14" customHeight="1" x14ac:dyDescent="0.35">
      <c r="B227" s="77" t="s">
        <v>408</v>
      </c>
      <c r="C227" s="74"/>
    </row>
    <row r="228" spans="2:3" ht="14" customHeight="1" x14ac:dyDescent="0.35">
      <c r="B228" s="77" t="s">
        <v>409</v>
      </c>
      <c r="C228" s="74"/>
    </row>
    <row r="229" spans="2:3" ht="14" customHeight="1" x14ac:dyDescent="0.35">
      <c r="B229" s="77" t="s">
        <v>410</v>
      </c>
      <c r="C229" s="74"/>
    </row>
    <row r="230" spans="2:3" ht="14" customHeight="1" x14ac:dyDescent="0.35">
      <c r="B230" s="77" t="s">
        <v>411</v>
      </c>
      <c r="C230" s="74"/>
    </row>
    <row r="231" spans="2:3" ht="14" customHeight="1" x14ac:dyDescent="0.35">
      <c r="B231" s="77" t="s">
        <v>412</v>
      </c>
      <c r="C231" s="74"/>
    </row>
    <row r="232" spans="2:3" ht="14" customHeight="1" x14ac:dyDescent="0.35">
      <c r="B232" s="77" t="s">
        <v>413</v>
      </c>
      <c r="C232" s="74"/>
    </row>
    <row r="233" spans="2:3" ht="14" customHeight="1" x14ac:dyDescent="0.35">
      <c r="B233" s="77"/>
      <c r="C233" s="74"/>
    </row>
    <row r="234" spans="2:3" ht="14" customHeight="1" x14ac:dyDescent="0.35">
      <c r="B234" s="77" t="s">
        <v>414</v>
      </c>
      <c r="C234" s="74"/>
    </row>
    <row r="235" spans="2:3" ht="14" customHeight="1" x14ac:dyDescent="0.35">
      <c r="B235" s="77" t="s">
        <v>415</v>
      </c>
      <c r="C235" s="74"/>
    </row>
    <row r="236" spans="2:3" ht="14" customHeight="1" x14ac:dyDescent="0.35">
      <c r="B236" s="77" t="s">
        <v>416</v>
      </c>
      <c r="C236" s="74"/>
    </row>
    <row r="237" spans="2:3" ht="14" customHeight="1" x14ac:dyDescent="0.35">
      <c r="B237" s="77" t="s">
        <v>417</v>
      </c>
      <c r="C237" s="74"/>
    </row>
    <row r="238" spans="2:3" ht="14" customHeight="1" x14ac:dyDescent="0.35">
      <c r="B238" s="77" t="s">
        <v>418</v>
      </c>
      <c r="C238" s="74"/>
    </row>
    <row r="239" spans="2:3" ht="14" customHeight="1" x14ac:dyDescent="0.35">
      <c r="B239" s="77" t="s">
        <v>419</v>
      </c>
      <c r="C239" s="74"/>
    </row>
    <row r="240" spans="2:3" ht="14" customHeight="1" x14ac:dyDescent="0.35">
      <c r="B240" s="77" t="s">
        <v>413</v>
      </c>
      <c r="C240" s="74"/>
    </row>
    <row r="241" spans="2:3" ht="14" customHeight="1" x14ac:dyDescent="0.35">
      <c r="B241" s="77"/>
      <c r="C241" s="74"/>
    </row>
  </sheetData>
  <mergeCells count="227">
    <mergeCell ref="B8:C8"/>
    <mergeCell ref="B73:C73"/>
    <mergeCell ref="B175:C175"/>
    <mergeCell ref="B87:C87"/>
    <mergeCell ref="B147:C147"/>
    <mergeCell ref="B128:C128"/>
    <mergeCell ref="B137:C137"/>
    <mergeCell ref="B226:C226"/>
    <mergeCell ref="B217:C217"/>
    <mergeCell ref="B65:C65"/>
    <mergeCell ref="B192:C192"/>
    <mergeCell ref="B74:C74"/>
    <mergeCell ref="B68:C68"/>
    <mergeCell ref="B201:C201"/>
    <mergeCell ref="B139:C139"/>
    <mergeCell ref="B222:C222"/>
    <mergeCell ref="B114:C114"/>
    <mergeCell ref="B123:C123"/>
    <mergeCell ref="B36:C36"/>
    <mergeCell ref="B207:C207"/>
    <mergeCell ref="B50:C50"/>
    <mergeCell ref="B163:C163"/>
    <mergeCell ref="B110:C110"/>
    <mergeCell ref="B221:C221"/>
    <mergeCell ref="B219:C219"/>
    <mergeCell ref="B136:C136"/>
    <mergeCell ref="B111:C111"/>
    <mergeCell ref="B229:C229"/>
    <mergeCell ref="B23:C23"/>
    <mergeCell ref="B145:C145"/>
    <mergeCell ref="B181:C181"/>
    <mergeCell ref="B225:C225"/>
    <mergeCell ref="B113:C113"/>
    <mergeCell ref="B171:C171"/>
    <mergeCell ref="B44:C44"/>
    <mergeCell ref="B25:C25"/>
    <mergeCell ref="B66:C66"/>
    <mergeCell ref="B131:C131"/>
    <mergeCell ref="B212:C212"/>
    <mergeCell ref="B239:C239"/>
    <mergeCell ref="B83:C83"/>
    <mergeCell ref="B143:C143"/>
    <mergeCell ref="B92:C92"/>
    <mergeCell ref="B30:C30"/>
    <mergeCell ref="B241:C241"/>
    <mergeCell ref="B124:C124"/>
    <mergeCell ref="B20:C20"/>
    <mergeCell ref="B76:C76"/>
    <mergeCell ref="B133:C133"/>
    <mergeCell ref="B45:C45"/>
    <mergeCell ref="B189:C189"/>
    <mergeCell ref="B85:C85"/>
    <mergeCell ref="B198:C198"/>
    <mergeCell ref="B204:C204"/>
    <mergeCell ref="B216:C216"/>
    <mergeCell ref="B94:C94"/>
    <mergeCell ref="B173:C173"/>
    <mergeCell ref="B188:C188"/>
    <mergeCell ref="B126:C126"/>
    <mergeCell ref="B75:C75"/>
    <mergeCell ref="B135:C135"/>
    <mergeCell ref="B109:C109"/>
    <mergeCell ref="B47:C47"/>
    <mergeCell ref="B234:C234"/>
    <mergeCell ref="B34:C34"/>
    <mergeCell ref="B172:C172"/>
    <mergeCell ref="B146:C146"/>
    <mergeCell ref="B28:C28"/>
    <mergeCell ref="B99:C99"/>
    <mergeCell ref="B108:C108"/>
    <mergeCell ref="B187:C187"/>
    <mergeCell ref="B62:C62"/>
    <mergeCell ref="B218:C218"/>
    <mergeCell ref="B233:C233"/>
    <mergeCell ref="B227:C227"/>
    <mergeCell ref="B59:C59"/>
    <mergeCell ref="B150:C150"/>
    <mergeCell ref="B190:C190"/>
    <mergeCell ref="B202:C202"/>
    <mergeCell ref="B46:C46"/>
    <mergeCell ref="B159:C159"/>
    <mergeCell ref="B39:C39"/>
    <mergeCell ref="B152:C152"/>
    <mergeCell ref="B70:C70"/>
    <mergeCell ref="B167:C167"/>
    <mergeCell ref="B90:C90"/>
    <mergeCell ref="B156:C156"/>
    <mergeCell ref="B4:C6"/>
    <mergeCell ref="B153:C153"/>
    <mergeCell ref="B224:C224"/>
    <mergeCell ref="B54:C54"/>
    <mergeCell ref="B125:C125"/>
    <mergeCell ref="B72:C72"/>
    <mergeCell ref="B185:C185"/>
    <mergeCell ref="B134:C134"/>
    <mergeCell ref="B199:C199"/>
    <mergeCell ref="B81:C81"/>
    <mergeCell ref="B194:C194"/>
    <mergeCell ref="B208:C208"/>
    <mergeCell ref="B121:C121"/>
    <mergeCell ref="B122:C122"/>
    <mergeCell ref="B56:C56"/>
    <mergeCell ref="B71:C71"/>
    <mergeCell ref="B96:C96"/>
    <mergeCell ref="B184:C184"/>
    <mergeCell ref="B105:C105"/>
    <mergeCell ref="B43:C43"/>
    <mergeCell ref="B58:C58"/>
    <mergeCell ref="B176:C176"/>
    <mergeCell ref="B214:C214"/>
    <mergeCell ref="B52:C52"/>
    <mergeCell ref="B238:C238"/>
    <mergeCell ref="B220:C220"/>
    <mergeCell ref="B2:C2"/>
    <mergeCell ref="B130:C130"/>
    <mergeCell ref="B195:C195"/>
    <mergeCell ref="B117:C117"/>
    <mergeCell ref="B231:C231"/>
    <mergeCell ref="B240:C240"/>
    <mergeCell ref="B179:C179"/>
    <mergeCell ref="B157:C157"/>
    <mergeCell ref="B132:C132"/>
    <mergeCell ref="B53:C53"/>
    <mergeCell ref="B166:C166"/>
    <mergeCell ref="B119:C119"/>
    <mergeCell ref="B116:C116"/>
    <mergeCell ref="B29:C29"/>
    <mergeCell ref="B103:C103"/>
    <mergeCell ref="B37:C37"/>
    <mergeCell ref="B174:C174"/>
    <mergeCell ref="B186:C186"/>
    <mergeCell ref="B196:C196"/>
    <mergeCell ref="B168:C168"/>
    <mergeCell ref="B230:C230"/>
    <mergeCell ref="B84:C84"/>
    <mergeCell ref="B18:C18"/>
    <mergeCell ref="B140:C140"/>
    <mergeCell ref="B223:C223"/>
    <mergeCell ref="B180:C180"/>
    <mergeCell ref="B118:C118"/>
    <mergeCell ref="B158:C158"/>
    <mergeCell ref="B142:C142"/>
    <mergeCell ref="B80:C80"/>
    <mergeCell ref="B95:C95"/>
    <mergeCell ref="B213:C213"/>
    <mergeCell ref="B89:C89"/>
    <mergeCell ref="B160:C160"/>
    <mergeCell ref="B169:C169"/>
    <mergeCell ref="B79:C79"/>
    <mergeCell ref="B144:C144"/>
    <mergeCell ref="B97:C97"/>
    <mergeCell ref="B210:C210"/>
    <mergeCell ref="B154:C154"/>
    <mergeCell ref="B197:C197"/>
    <mergeCell ref="B35:C35"/>
    <mergeCell ref="B206:C206"/>
    <mergeCell ref="B106:C106"/>
    <mergeCell ref="B48:C48"/>
    <mergeCell ref="B161:C161"/>
    <mergeCell ref="B237:C237"/>
    <mergeCell ref="B129:C129"/>
    <mergeCell ref="B200:C200"/>
    <mergeCell ref="B138:C138"/>
    <mergeCell ref="B209:C209"/>
    <mergeCell ref="B228:C228"/>
    <mergeCell ref="B120:C120"/>
    <mergeCell ref="B98:C98"/>
    <mergeCell ref="B42:C42"/>
    <mergeCell ref="B107:C107"/>
    <mergeCell ref="B60:C60"/>
    <mergeCell ref="B203:C203"/>
    <mergeCell ref="B57:C57"/>
    <mergeCell ref="B88:C88"/>
    <mergeCell ref="B148:C148"/>
    <mergeCell ref="B82:C82"/>
    <mergeCell ref="B170:C170"/>
    <mergeCell ref="B162:C162"/>
    <mergeCell ref="B91:C91"/>
    <mergeCell ref="B100:C100"/>
    <mergeCell ref="B165:C165"/>
    <mergeCell ref="B232:C232"/>
    <mergeCell ref="B141:C141"/>
    <mergeCell ref="B236:C236"/>
    <mergeCell ref="B21:C21"/>
    <mergeCell ref="B86:C86"/>
    <mergeCell ref="B151:C151"/>
    <mergeCell ref="B235:C235"/>
    <mergeCell ref="B67:C67"/>
    <mergeCell ref="B61:C61"/>
    <mergeCell ref="B101:C101"/>
    <mergeCell ref="B1:C1"/>
    <mergeCell ref="B69:C69"/>
    <mergeCell ref="B182:C182"/>
    <mergeCell ref="B38:C38"/>
    <mergeCell ref="B78:C78"/>
    <mergeCell ref="B191:C191"/>
    <mergeCell ref="B112:C112"/>
    <mergeCell ref="B205:C205"/>
    <mergeCell ref="B178:C178"/>
    <mergeCell ref="B127:C127"/>
    <mergeCell ref="B40:C40"/>
    <mergeCell ref="B211:C211"/>
    <mergeCell ref="B49:C49"/>
    <mergeCell ref="B55:C55"/>
    <mergeCell ref="B183:C183"/>
    <mergeCell ref="B24:C24"/>
    <mergeCell ref="B64:C64"/>
    <mergeCell ref="B22:C22"/>
    <mergeCell ref="B115:C115"/>
    <mergeCell ref="B93:C93"/>
    <mergeCell ref="B149:C149"/>
    <mergeCell ref="B31:C31"/>
    <mergeCell ref="B155:C155"/>
    <mergeCell ref="B102:C102"/>
    <mergeCell ref="B193:C193"/>
    <mergeCell ref="B215:C215"/>
    <mergeCell ref="B77:C77"/>
    <mergeCell ref="B177:C177"/>
    <mergeCell ref="B33:C33"/>
    <mergeCell ref="B104:C104"/>
    <mergeCell ref="B51:C51"/>
    <mergeCell ref="B164:C164"/>
    <mergeCell ref="B32:C32"/>
    <mergeCell ref="B63:C63"/>
    <mergeCell ref="B26:C26"/>
    <mergeCell ref="B41:C41"/>
    <mergeCell ref="B27:C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2:I34"/>
  <sheetViews>
    <sheetView showGridLines="0" topLeftCell="A7" zoomScaleNormal="100" workbookViewId="0">
      <selection activeCell="B9" sqref="B9:H9"/>
    </sheetView>
  </sheetViews>
  <sheetFormatPr baseColWidth="10" defaultColWidth="8.6328125" defaultRowHeight="14.5" x14ac:dyDescent="0.35"/>
  <cols>
    <col min="1" max="1" width="3" style="47" customWidth="1"/>
    <col min="2" max="2" width="6" style="47" customWidth="1"/>
    <col min="3" max="3" width="30" style="47" customWidth="1"/>
    <col min="4" max="5" width="14" style="47" customWidth="1"/>
    <col min="6" max="7" width="12" style="47" customWidth="1"/>
    <col min="8" max="8" width="18" style="47" customWidth="1"/>
    <col min="9" max="9" width="3" style="47" customWidth="1"/>
  </cols>
  <sheetData>
    <row r="2" spans="2:8" ht="31.5" customHeight="1" x14ac:dyDescent="0.35">
      <c r="B2" s="87" t="s">
        <v>420</v>
      </c>
      <c r="C2" s="74"/>
      <c r="D2" s="74"/>
      <c r="E2" s="74"/>
      <c r="F2" s="74"/>
      <c r="G2" s="74"/>
      <c r="H2" s="74"/>
    </row>
    <row r="3" spans="2:8" ht="21.75" customHeight="1" x14ac:dyDescent="0.35">
      <c r="B3" s="89" t="s">
        <v>421</v>
      </c>
      <c r="C3" s="74"/>
      <c r="D3" s="74"/>
      <c r="E3" s="74"/>
      <c r="F3" s="74"/>
      <c r="G3" s="74"/>
      <c r="H3" s="74"/>
    </row>
    <row r="5" spans="2:8" ht="24" customHeight="1" x14ac:dyDescent="0.35">
      <c r="B5" s="93" t="s">
        <v>422</v>
      </c>
      <c r="C5" s="74"/>
      <c r="D5" s="74"/>
      <c r="E5" s="90" t="s">
        <v>53</v>
      </c>
      <c r="F5" s="91"/>
      <c r="G5" s="91"/>
      <c r="H5" s="92"/>
    </row>
    <row r="6" spans="2:8" ht="18" customHeight="1" x14ac:dyDescent="0.35">
      <c r="B6" s="95" t="s">
        <v>423</v>
      </c>
      <c r="C6" s="74"/>
      <c r="D6" s="74"/>
      <c r="E6" s="74"/>
      <c r="F6" s="74"/>
      <c r="G6" s="74"/>
      <c r="H6" s="74"/>
    </row>
    <row r="9" spans="2:8" ht="30" customHeight="1" x14ac:dyDescent="0.35">
      <c r="B9" s="1" t="s">
        <v>424</v>
      </c>
      <c r="C9" s="1" t="s">
        <v>425</v>
      </c>
      <c r="D9" s="1" t="s">
        <v>426</v>
      </c>
      <c r="E9" s="1" t="s">
        <v>427</v>
      </c>
      <c r="F9" s="1" t="s">
        <v>428</v>
      </c>
      <c r="G9" s="1" t="s">
        <v>429</v>
      </c>
      <c r="H9" s="1" t="s">
        <v>25</v>
      </c>
    </row>
    <row r="10" spans="2:8" ht="21.75" customHeight="1" x14ac:dyDescent="0.35">
      <c r="B10" s="2">
        <v>1</v>
      </c>
      <c r="C10" s="3"/>
      <c r="D10" s="4"/>
      <c r="E10" s="5"/>
      <c r="F10" s="6" t="str">
        <f t="shared" ref="F10:F24" ca="1" si="0">IF(E10="","",E10-TODAY())</f>
        <v/>
      </c>
      <c r="G10" s="7"/>
      <c r="H10" s="8" t="str">
        <f t="shared" ref="H10:H24" si="1">IF(C10="","",IF(G10=1,"✅ Completada",IF(F10="","—",IF(F10&gt;5,"🟢 En tiempo",IF(F10&gt;=1,"🟡 Por vencer","🔴 Vencida")))))</f>
        <v/>
      </c>
    </row>
    <row r="11" spans="2:8" ht="21.75" customHeight="1" x14ac:dyDescent="0.35">
      <c r="B11" s="2">
        <v>2</v>
      </c>
      <c r="C11" s="3"/>
      <c r="D11" s="4"/>
      <c r="E11" s="5"/>
      <c r="F11" s="6" t="str">
        <f t="shared" ca="1" si="0"/>
        <v/>
      </c>
      <c r="G11" s="7"/>
      <c r="H11" s="8" t="str">
        <f t="shared" si="1"/>
        <v/>
      </c>
    </row>
    <row r="12" spans="2:8" ht="21.75" customHeight="1" x14ac:dyDescent="0.35">
      <c r="B12" s="2">
        <v>3</v>
      </c>
      <c r="C12" s="3"/>
      <c r="D12" s="4"/>
      <c r="E12" s="5"/>
      <c r="F12" s="6" t="str">
        <f t="shared" ca="1" si="0"/>
        <v/>
      </c>
      <c r="G12" s="7"/>
      <c r="H12" s="8" t="str">
        <f t="shared" si="1"/>
        <v/>
      </c>
    </row>
    <row r="13" spans="2:8" ht="21.75" customHeight="1" x14ac:dyDescent="0.35">
      <c r="B13" s="2">
        <v>4</v>
      </c>
      <c r="C13" s="3"/>
      <c r="D13" s="4"/>
      <c r="E13" s="5"/>
      <c r="F13" s="6" t="str">
        <f t="shared" ca="1" si="0"/>
        <v/>
      </c>
      <c r="G13" s="7"/>
      <c r="H13" s="8" t="str">
        <f t="shared" si="1"/>
        <v/>
      </c>
    </row>
    <row r="14" spans="2:8" ht="21.75" customHeight="1" x14ac:dyDescent="0.35">
      <c r="B14" s="2">
        <v>5</v>
      </c>
      <c r="C14" s="3"/>
      <c r="D14" s="4"/>
      <c r="E14" s="5"/>
      <c r="F14" s="6" t="str">
        <f t="shared" ca="1" si="0"/>
        <v/>
      </c>
      <c r="G14" s="7"/>
      <c r="H14" s="8" t="str">
        <f t="shared" si="1"/>
        <v/>
      </c>
    </row>
    <row r="15" spans="2:8" ht="21.75" customHeight="1" x14ac:dyDescent="0.35">
      <c r="B15" s="2">
        <v>6</v>
      </c>
      <c r="C15" s="3"/>
      <c r="D15" s="4"/>
      <c r="E15" s="5"/>
      <c r="F15" s="6" t="str">
        <f t="shared" ca="1" si="0"/>
        <v/>
      </c>
      <c r="G15" s="7"/>
      <c r="H15" s="8" t="str">
        <f t="shared" si="1"/>
        <v/>
      </c>
    </row>
    <row r="16" spans="2:8" ht="21.75" customHeight="1" x14ac:dyDescent="0.35">
      <c r="B16" s="2">
        <v>7</v>
      </c>
      <c r="C16" s="3"/>
      <c r="D16" s="4"/>
      <c r="E16" s="5"/>
      <c r="F16" s="6" t="str">
        <f t="shared" ca="1" si="0"/>
        <v/>
      </c>
      <c r="G16" s="7"/>
      <c r="H16" s="8" t="str">
        <f t="shared" si="1"/>
        <v/>
      </c>
    </row>
    <row r="17" spans="2:8" ht="21.75" customHeight="1" x14ac:dyDescent="0.35">
      <c r="B17" s="2">
        <v>8</v>
      </c>
      <c r="C17" s="3"/>
      <c r="D17" s="4"/>
      <c r="E17" s="5"/>
      <c r="F17" s="6" t="str">
        <f t="shared" ca="1" si="0"/>
        <v/>
      </c>
      <c r="G17" s="7"/>
      <c r="H17" s="8" t="str">
        <f t="shared" si="1"/>
        <v/>
      </c>
    </row>
    <row r="18" spans="2:8" ht="21.75" customHeight="1" x14ac:dyDescent="0.35">
      <c r="B18" s="2">
        <v>9</v>
      </c>
      <c r="C18" s="3"/>
      <c r="D18" s="4"/>
      <c r="E18" s="5"/>
      <c r="F18" s="6" t="str">
        <f t="shared" ca="1" si="0"/>
        <v/>
      </c>
      <c r="G18" s="7"/>
      <c r="H18" s="8" t="str">
        <f t="shared" si="1"/>
        <v/>
      </c>
    </row>
    <row r="19" spans="2:8" ht="21.75" customHeight="1" x14ac:dyDescent="0.35">
      <c r="B19" s="2">
        <v>10</v>
      </c>
      <c r="C19" s="3"/>
      <c r="D19" s="4"/>
      <c r="E19" s="5"/>
      <c r="F19" s="6" t="str">
        <f t="shared" ca="1" si="0"/>
        <v/>
      </c>
      <c r="G19" s="7"/>
      <c r="H19" s="8" t="str">
        <f t="shared" si="1"/>
        <v/>
      </c>
    </row>
    <row r="20" spans="2:8" ht="21.75" customHeight="1" x14ac:dyDescent="0.35">
      <c r="B20" s="2">
        <v>11</v>
      </c>
      <c r="C20" s="3"/>
      <c r="D20" s="4"/>
      <c r="E20" s="5"/>
      <c r="F20" s="6" t="str">
        <f t="shared" ca="1" si="0"/>
        <v/>
      </c>
      <c r="G20" s="7"/>
      <c r="H20" s="8" t="str">
        <f t="shared" si="1"/>
        <v/>
      </c>
    </row>
    <row r="21" spans="2:8" ht="21.75" customHeight="1" x14ac:dyDescent="0.35">
      <c r="B21" s="2">
        <v>12</v>
      </c>
      <c r="C21" s="3"/>
      <c r="D21" s="4"/>
      <c r="E21" s="5"/>
      <c r="F21" s="6" t="str">
        <f t="shared" ca="1" si="0"/>
        <v/>
      </c>
      <c r="G21" s="7"/>
      <c r="H21" s="8" t="str">
        <f t="shared" si="1"/>
        <v/>
      </c>
    </row>
    <row r="22" spans="2:8" ht="21.75" customHeight="1" x14ac:dyDescent="0.35">
      <c r="B22" s="2">
        <v>13</v>
      </c>
      <c r="C22" s="3"/>
      <c r="D22" s="4"/>
      <c r="E22" s="5"/>
      <c r="F22" s="6" t="str">
        <f t="shared" ca="1" si="0"/>
        <v/>
      </c>
      <c r="G22" s="7"/>
      <c r="H22" s="8" t="str">
        <f t="shared" si="1"/>
        <v/>
      </c>
    </row>
    <row r="23" spans="2:8" ht="21.75" customHeight="1" x14ac:dyDescent="0.35">
      <c r="B23" s="2">
        <v>14</v>
      </c>
      <c r="C23" s="3"/>
      <c r="D23" s="4"/>
      <c r="E23" s="5"/>
      <c r="F23" s="6" t="str">
        <f t="shared" ca="1" si="0"/>
        <v/>
      </c>
      <c r="G23" s="7"/>
      <c r="H23" s="8" t="str">
        <f t="shared" si="1"/>
        <v/>
      </c>
    </row>
    <row r="24" spans="2:8" ht="21.75" customHeight="1" x14ac:dyDescent="0.35">
      <c r="B24" s="9">
        <v>15</v>
      </c>
      <c r="C24" s="10"/>
      <c r="D24" s="11"/>
      <c r="E24" s="12"/>
      <c r="F24" s="13" t="str">
        <f t="shared" ca="1" si="0"/>
        <v/>
      </c>
      <c r="G24" s="14"/>
      <c r="H24" s="15" t="str">
        <f t="shared" si="1"/>
        <v/>
      </c>
    </row>
    <row r="26" spans="2:8" ht="19.5" customHeight="1" x14ac:dyDescent="0.35">
      <c r="B26" s="94" t="s">
        <v>430</v>
      </c>
      <c r="C26" s="74"/>
      <c r="D26" s="74"/>
      <c r="E26" s="74"/>
      <c r="F26" s="74"/>
      <c r="G26" s="74"/>
      <c r="H26" s="74"/>
    </row>
    <row r="27" spans="2:8" ht="15.75" customHeight="1" x14ac:dyDescent="0.35">
      <c r="B27" s="88" t="s">
        <v>431</v>
      </c>
      <c r="C27" s="74"/>
      <c r="D27" s="74"/>
      <c r="E27" s="74"/>
      <c r="F27" s="74"/>
      <c r="G27" s="74"/>
      <c r="H27" s="74"/>
    </row>
    <row r="28" spans="2:8" ht="15.75" customHeight="1" x14ac:dyDescent="0.35">
      <c r="B28" s="88" t="s">
        <v>432</v>
      </c>
      <c r="C28" s="74"/>
      <c r="D28" s="74"/>
      <c r="E28" s="74"/>
      <c r="F28" s="74"/>
      <c r="G28" s="74"/>
      <c r="H28" s="74"/>
    </row>
    <row r="29" spans="2:8" ht="15.75" customHeight="1" x14ac:dyDescent="0.35">
      <c r="B29" s="88" t="s">
        <v>433</v>
      </c>
      <c r="C29" s="74"/>
      <c r="D29" s="74"/>
      <c r="E29" s="74"/>
      <c r="F29" s="74"/>
      <c r="G29" s="74"/>
      <c r="H29" s="74"/>
    </row>
    <row r="30" spans="2:8" ht="15.75" customHeight="1" x14ac:dyDescent="0.35">
      <c r="B30" s="88" t="s">
        <v>434</v>
      </c>
      <c r="C30" s="74"/>
      <c r="D30" s="74"/>
      <c r="E30" s="74"/>
      <c r="F30" s="74"/>
      <c r="G30" s="74"/>
      <c r="H30" s="74"/>
    </row>
    <row r="31" spans="2:8" ht="15.75" customHeight="1" x14ac:dyDescent="0.35">
      <c r="B31" s="88" t="s">
        <v>435</v>
      </c>
      <c r="C31" s="74"/>
      <c r="D31" s="74"/>
      <c r="E31" s="74"/>
      <c r="F31" s="74"/>
      <c r="G31" s="74"/>
      <c r="H31" s="74"/>
    </row>
    <row r="32" spans="2:8" ht="15.75" customHeight="1" x14ac:dyDescent="0.35">
      <c r="B32" s="88" t="s">
        <v>436</v>
      </c>
      <c r="C32" s="74"/>
      <c r="D32" s="74"/>
      <c r="E32" s="74"/>
      <c r="F32" s="74"/>
      <c r="G32" s="74"/>
      <c r="H32" s="74"/>
    </row>
    <row r="33" spans="2:8" ht="7.5" customHeight="1" x14ac:dyDescent="0.35">
      <c r="B33" s="88"/>
      <c r="C33" s="74"/>
      <c r="D33" s="74"/>
      <c r="E33" s="74"/>
      <c r="F33" s="74"/>
      <c r="G33" s="74"/>
      <c r="H33" s="74"/>
    </row>
    <row r="34" spans="2:8" ht="15.75" customHeight="1" x14ac:dyDescent="0.35">
      <c r="B34" s="88" t="s">
        <v>437</v>
      </c>
      <c r="C34" s="74"/>
      <c r="D34" s="74"/>
      <c r="E34" s="74"/>
      <c r="F34" s="74"/>
      <c r="G34" s="74"/>
      <c r="H34" s="74"/>
    </row>
  </sheetData>
  <mergeCells count="14">
    <mergeCell ref="B2:H2"/>
    <mergeCell ref="B29:H29"/>
    <mergeCell ref="B33:H33"/>
    <mergeCell ref="B3:H3"/>
    <mergeCell ref="B34:H34"/>
    <mergeCell ref="E5:H5"/>
    <mergeCell ref="B31:H31"/>
    <mergeCell ref="B32:H32"/>
    <mergeCell ref="B5:D5"/>
    <mergeCell ref="B28:H28"/>
    <mergeCell ref="B26:H26"/>
    <mergeCell ref="B27:H27"/>
    <mergeCell ref="B6:H6"/>
    <mergeCell ref="B30:H3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2:I45"/>
  <sheetViews>
    <sheetView showGridLines="0" zoomScale="80" zoomScaleNormal="80" workbookViewId="0"/>
  </sheetViews>
  <sheetFormatPr baseColWidth="10" defaultColWidth="8.6328125" defaultRowHeight="14.5" x14ac:dyDescent="0.35"/>
  <cols>
    <col min="1" max="1" width="2" style="47" customWidth="1"/>
    <col min="2" max="2" width="35.453125" style="47" customWidth="1"/>
    <col min="3" max="3" width="24" style="47" customWidth="1"/>
    <col min="4" max="5" width="13" style="47" customWidth="1"/>
    <col min="6" max="7" width="11" style="47" customWidth="1"/>
    <col min="8" max="8" width="15" style="47" customWidth="1"/>
    <col min="9" max="9" width="2" style="47" customWidth="1"/>
  </cols>
  <sheetData>
    <row r="2" spans="2:8" ht="33.75" customHeight="1" x14ac:dyDescent="0.35">
      <c r="B2" s="118" t="s">
        <v>438</v>
      </c>
      <c r="C2" s="74"/>
      <c r="D2" s="74"/>
      <c r="E2" s="74"/>
      <c r="F2" s="74"/>
      <c r="G2" s="74"/>
      <c r="H2" s="74"/>
    </row>
    <row r="3" spans="2:8" ht="3" customHeight="1" x14ac:dyDescent="0.35">
      <c r="B3" s="96"/>
      <c r="C3" s="74"/>
      <c r="D3" s="74"/>
      <c r="E3" s="74"/>
      <c r="F3" s="74"/>
      <c r="G3" s="74"/>
      <c r="H3" s="74"/>
    </row>
    <row r="5" spans="2:8" ht="25.5" customHeight="1" x14ac:dyDescent="0.35">
      <c r="B5" s="16" t="s">
        <v>439</v>
      </c>
      <c r="C5" s="17" t="s">
        <v>53</v>
      </c>
      <c r="D5" s="122" t="s">
        <v>440</v>
      </c>
      <c r="E5" s="123"/>
      <c r="F5" s="123"/>
      <c r="G5" s="123"/>
      <c r="H5" s="124"/>
    </row>
    <row r="7" spans="2:8" ht="27.75" customHeight="1" x14ac:dyDescent="0.35">
      <c r="B7" s="126" t="str">
        <f>IFERROR(C5&amp;"  |  "&amp;VLOOKUP(C5,'Data Original'!A:AC,3,0),"Proyecto no encontrado")</f>
        <v xml:space="preserve">P1  |  DARUMA </v>
      </c>
      <c r="C7" s="127"/>
      <c r="D7" s="127"/>
      <c r="E7" s="127"/>
      <c r="F7" s="127"/>
      <c r="G7" s="127"/>
      <c r="H7" s="128"/>
    </row>
    <row r="9" spans="2:8" ht="18" customHeight="1" x14ac:dyDescent="0.35">
      <c r="B9" s="114" t="s">
        <v>441</v>
      </c>
      <c r="C9" s="74"/>
      <c r="D9" s="74"/>
      <c r="E9" s="74"/>
      <c r="F9" s="74"/>
      <c r="G9" s="74"/>
      <c r="H9" s="74"/>
    </row>
    <row r="10" spans="2:8" ht="18" customHeight="1" x14ac:dyDescent="0.35">
      <c r="B10" s="49" t="s">
        <v>442</v>
      </c>
      <c r="C10" s="105" t="s">
        <v>443</v>
      </c>
      <c r="D10" s="106"/>
      <c r="E10" s="49" t="s">
        <v>444</v>
      </c>
      <c r="F10" s="105" t="s">
        <v>445</v>
      </c>
      <c r="G10" s="91"/>
      <c r="H10" s="106"/>
    </row>
    <row r="11" spans="2:8" ht="24" customHeight="1" x14ac:dyDescent="0.35">
      <c r="B11" s="18" t="s">
        <v>446</v>
      </c>
      <c r="C11" s="116" t="str">
        <f>IFERROR(TEXT(VLOOKUP(C5,'Data Original'!A:AC,15,0),"DD/MM/YYYY"),"N/D")</f>
        <v>20/05/2026</v>
      </c>
      <c r="D11" s="101"/>
      <c r="E11" s="19">
        <f>IFERROR(VLOOKUP(C5,'Data Original'!A:AC,16,0),"—")</f>
        <v>65</v>
      </c>
      <c r="F11" s="120" t="str">
        <f>IFERROR(IF(ISNUMBER(E11),IF(E11&gt;=20,"✅ EN TIEMPO",IF(E11&gt;=7,"⚠ ALERTA","🔴 CRÍTICO")),"—"),"")</f>
        <v>✅ EN TIEMPO</v>
      </c>
      <c r="G11" s="103"/>
      <c r="H11" s="104"/>
    </row>
    <row r="12" spans="2:8" ht="24" customHeight="1" x14ac:dyDescent="0.35">
      <c r="B12" s="18" t="s">
        <v>447</v>
      </c>
      <c r="C12" s="116" t="str">
        <f>IFERROR(TEXT(VLOOKUP(C5,'Data Original'!A:AC,17,0),"DD/MM/YYYY"),"N/D")</f>
        <v>26/08/2026</v>
      </c>
      <c r="D12" s="101"/>
      <c r="E12" s="19">
        <f>IFERROR(VLOOKUP(C5,'Data Original'!A:AC,19,0),"—")</f>
        <v>74</v>
      </c>
      <c r="F12" s="120" t="str">
        <f>IFERROR(IF(ISNUMBER(E12),IF(E12&gt;=20,"✅ EN TIEMPO",IF(E12&gt;=7,"⚠ ALERTA","🔴 CRÍTICO")),"—"),"")</f>
        <v>✅ EN TIEMPO</v>
      </c>
      <c r="G12" s="103"/>
      <c r="H12" s="104"/>
    </row>
    <row r="13" spans="2:8" ht="24" customHeight="1" x14ac:dyDescent="0.35">
      <c r="B13" s="20" t="s">
        <v>448</v>
      </c>
      <c r="C13" s="125" t="str">
        <f>IFERROR(TEXT(VLOOKUP(C5,'Data Original'!A:AC,20,0),"DD/MM/YYYY"),"N/D")</f>
        <v>22/06/2026</v>
      </c>
      <c r="D13" s="99"/>
      <c r="E13" s="21">
        <f>IFERROR(VLOOKUP(C5,'Data Original'!A:AC,22,0),"—")</f>
        <v>88</v>
      </c>
      <c r="F13" s="107" t="str">
        <f>IFERROR(IF(ISNUMBER(E13),IF(E13&gt;=30,"✅ EN TIEMPO",IF(E13&gt;=21,"⚠ ALERTA","🔴 CRÍTICO")),"—"),"")</f>
        <v>✅ EN TIEMPO</v>
      </c>
      <c r="G13" s="98"/>
      <c r="H13" s="99"/>
    </row>
    <row r="15" spans="2:8" ht="18" customHeight="1" x14ac:dyDescent="0.35">
      <c r="B15" s="114" t="s">
        <v>449</v>
      </c>
      <c r="C15" s="74"/>
      <c r="D15" s="74"/>
      <c r="E15" s="74"/>
      <c r="F15" s="74"/>
      <c r="G15" s="74"/>
      <c r="H15" s="74"/>
    </row>
    <row r="16" spans="2:8" ht="18" customHeight="1" x14ac:dyDescent="0.35">
      <c r="B16" s="121" t="s">
        <v>450</v>
      </c>
      <c r="C16" s="91"/>
      <c r="D16" s="106"/>
      <c r="E16" s="113" t="s">
        <v>451</v>
      </c>
      <c r="F16" s="91"/>
      <c r="G16" s="91"/>
      <c r="H16" s="92"/>
    </row>
    <row r="17" spans="2:8" ht="18" customHeight="1" x14ac:dyDescent="0.35">
      <c r="B17" s="22" t="s">
        <v>452</v>
      </c>
      <c r="C17" s="119" t="str">
        <f>C5</f>
        <v>P1</v>
      </c>
      <c r="D17" s="101"/>
      <c r="E17" s="109" t="s">
        <v>453</v>
      </c>
      <c r="F17" s="103"/>
      <c r="G17" s="103"/>
      <c r="H17" s="104"/>
    </row>
    <row r="18" spans="2:8" ht="18" customHeight="1" x14ac:dyDescent="0.35">
      <c r="B18" s="23" t="s">
        <v>454</v>
      </c>
      <c r="C18" s="100" t="str">
        <f>IFERROR(VLOOKUP(C5,'Data Original'!A:AC,3,0),"N/D")</f>
        <v xml:space="preserve">DARUMA </v>
      </c>
      <c r="D18" s="101"/>
      <c r="E18" s="102" t="str">
        <f>IFERROR(VLOOKUP(C5,'Data Original'!A:AC,28,0),"N/D")</f>
        <v>Mayerly Benavides</v>
      </c>
      <c r="F18" s="103"/>
      <c r="G18" s="103"/>
      <c r="H18" s="104"/>
    </row>
    <row r="19" spans="2:8" ht="18" customHeight="1" x14ac:dyDescent="0.35">
      <c r="B19" s="22" t="s">
        <v>455</v>
      </c>
      <c r="C19" s="119" t="str">
        <f>IFERROR(VLOOKUP(C5,'Data Original'!A:AC,5,0),"N/D")</f>
        <v xml:space="preserve">12.4-CONTRATACIÓN DIRECTA-CONVENIOS O CONTRATOS INTERADMINISTRATIVOS </v>
      </c>
      <c r="D19" s="101"/>
      <c r="E19" s="109" t="s">
        <v>456</v>
      </c>
      <c r="F19" s="103"/>
      <c r="G19" s="103"/>
      <c r="H19" s="104"/>
    </row>
    <row r="20" spans="2:8" ht="18" customHeight="1" x14ac:dyDescent="0.35">
      <c r="B20" s="23" t="s">
        <v>457</v>
      </c>
      <c r="C20" s="100" t="str">
        <f>IFERROR(VLOOKUP(C5,'Data Original'!A:AC,2,0),"N/D")</f>
        <v>En Progreso</v>
      </c>
      <c r="D20" s="101"/>
      <c r="E20" s="102" t="str">
        <f>IFERROR(VLOOKUP(C5,'Data Original'!A:AC,25,0),"N/D")</f>
        <v>Mayerly Benavides</v>
      </c>
      <c r="F20" s="103"/>
      <c r="G20" s="103"/>
      <c r="H20" s="104"/>
    </row>
    <row r="21" spans="2:8" ht="18" customHeight="1" x14ac:dyDescent="0.35">
      <c r="B21" s="22" t="s">
        <v>458</v>
      </c>
      <c r="C21" s="117" t="str">
        <f>IFERROR(TEXT(VLOOKUP(C5,'Data Original'!A:AC,12,0),"$#,##0"),"N/D")</f>
        <v>$15000000,0</v>
      </c>
      <c r="D21" s="101"/>
      <c r="E21" s="109" t="s">
        <v>459</v>
      </c>
      <c r="F21" s="103"/>
      <c r="G21" s="103"/>
      <c r="H21" s="104"/>
    </row>
    <row r="22" spans="2:8" ht="18" customHeight="1" x14ac:dyDescent="0.35">
      <c r="B22" s="24" t="s">
        <v>459</v>
      </c>
      <c r="C22" s="110" t="str">
        <f>IFERROR(VLOOKUP(C5,'Data Original'!A:AC,26,0),"N/D")</f>
        <v>Carlos Gonzales</v>
      </c>
      <c r="D22" s="99"/>
      <c r="E22" s="97" t="str">
        <f>IFERROR(VLOOKUP(C5,'Data Original'!A:AC,26,0),"N/D")</f>
        <v>Carlos Gonzales</v>
      </c>
      <c r="F22" s="98"/>
      <c r="G22" s="98"/>
      <c r="H22" s="99"/>
    </row>
    <row r="24" spans="2:8" ht="18" customHeight="1" x14ac:dyDescent="0.35">
      <c r="B24" s="114" t="s">
        <v>460</v>
      </c>
      <c r="C24" s="74"/>
      <c r="D24" s="74"/>
      <c r="E24" s="74"/>
      <c r="F24" s="74"/>
      <c r="G24" s="74"/>
      <c r="H24" s="74"/>
    </row>
    <row r="25" spans="2:8" ht="19.5" customHeight="1" x14ac:dyDescent="0.35">
      <c r="B25" s="25" t="s">
        <v>424</v>
      </c>
      <c r="C25" s="26" t="s">
        <v>461</v>
      </c>
      <c r="D25" s="26" t="s">
        <v>462</v>
      </c>
      <c r="E25" s="26" t="s">
        <v>463</v>
      </c>
      <c r="F25" s="26" t="s">
        <v>464</v>
      </c>
      <c r="G25" s="26" t="s">
        <v>429</v>
      </c>
      <c r="H25" s="27" t="s">
        <v>25</v>
      </c>
    </row>
    <row r="26" spans="2:8" ht="18" customHeight="1" x14ac:dyDescent="0.35">
      <c r="B26" s="28" t="str">
        <f>IF('P1'!A2=C5,ROW()-25,"")</f>
        <v/>
      </c>
      <c r="C26" s="29" t="str">
        <f>IF('P1'!A2=C5,IF('P1'!C2="","",'P1'!C2),"")</f>
        <v/>
      </c>
      <c r="D26" s="30" t="str">
        <f>IF('P1'!A2=C5,IF('P1'!D2="","",TEXT('P1'!D2,"DD/MM/YY")),"")</f>
        <v/>
      </c>
      <c r="E26" s="31" t="str">
        <f>IF('P1'!A2=C5,IF('P1'!E2="","",TEXT('P1'!E2,"DD/MM/YY")),"")</f>
        <v/>
      </c>
      <c r="F26" s="32" t="str">
        <f>IF('P1'!A2=C5,IF('P1'!F2="","",'P1'!F2),"")</f>
        <v/>
      </c>
      <c r="G26" s="33" t="str">
        <f>IF('P1'!A2=C5,IF('P1'!H2="","",'P1'!H2),"")</f>
        <v/>
      </c>
      <c r="H26" s="48" t="str">
        <f>IF('P1'!A2=C5,IF('P1'!C2=""," ",IF('P1'!H2=1,"✅ Completada",IF('P1'!F2="","—",IF('P1'!F2&gt;5,"🟢 En tiempo",IF('P1'!F2&gt;=1,"🟡 Por vencer","🔴 Vencida")))))," ")</f>
        <v xml:space="preserve"> </v>
      </c>
    </row>
    <row r="27" spans="2:8" ht="18" customHeight="1" x14ac:dyDescent="0.35">
      <c r="B27" s="28" t="str">
        <f>IF('P1'!A3=C5,ROW()-25,"")</f>
        <v/>
      </c>
      <c r="C27" s="34" t="str">
        <f>IF('P1'!A3=C5,IF('P1'!C3="","",'P1'!C3),"")</f>
        <v/>
      </c>
      <c r="D27" s="35" t="str">
        <f>IF('P1'!A3=C5,IF('P1'!D3="","",TEXT('P1'!D3,"DD/MM/YY")),"")</f>
        <v/>
      </c>
      <c r="E27" s="36" t="str">
        <f>IF('P1'!A3=C5,IF('P1'!E3="","",TEXT('P1'!E3,"DD/MM/YY")),"")</f>
        <v/>
      </c>
      <c r="F27" s="37" t="str">
        <f>IF('P1'!A3=C5,IF('P1'!F3="","",'P1'!F3),"")</f>
        <v/>
      </c>
      <c r="G27" s="38" t="str">
        <f>IF('P1'!A3=C5,IF('P1'!H3="","",'P1'!H3),"")</f>
        <v/>
      </c>
      <c r="H27" s="39" t="str">
        <f>IF('P1'!A3=C5,IF('P1'!C3=""," ",IF('P1'!H3=1,"✅ Completada",IF('P1'!F3="","—",IF('P1'!F3&gt;5,"🟢 En tiempo",IF('P1'!F3&gt;=1,"🟡 Por vencer","🔴 Vencida")))))," ")</f>
        <v xml:space="preserve"> </v>
      </c>
    </row>
    <row r="28" spans="2:8" ht="18" customHeight="1" x14ac:dyDescent="0.35">
      <c r="B28" s="28" t="str">
        <f>IF('P1'!A4=C5,ROW()-25,"")</f>
        <v/>
      </c>
      <c r="C28" s="29" t="str">
        <f>IF('P1'!A4=C5,IF('P1'!C4="","",'P1'!C4),"")</f>
        <v/>
      </c>
      <c r="D28" s="30" t="str">
        <f>IF('P1'!A4=C5,IF('P1'!D4="","",TEXT('P1'!D4,"DD/MM/YY")),"")</f>
        <v/>
      </c>
      <c r="E28" s="31" t="str">
        <f>IF('P1'!A4=C5,IF('P1'!E4="","",TEXT('P1'!E4,"DD/MM/YY")),"")</f>
        <v/>
      </c>
      <c r="F28" s="32" t="str">
        <f>IF('P1'!A4=C5,IF('P1'!F4="","",'P1'!F4),"")</f>
        <v/>
      </c>
      <c r="G28" s="33" t="str">
        <f>IF('P1'!A4=C5,IF('P1'!H4="","",'P1'!H4),"")</f>
        <v/>
      </c>
      <c r="H28" s="48" t="str">
        <f>IF('P1'!A4=C5,IF('P1'!C4=""," ",IF('P1'!H4=1,"✅ Completada",IF('P1'!F4="","—",IF('P1'!F4&gt;5,"🟢 En tiempo",IF('P1'!F4&gt;=1,"🟡 Por vencer","🔴 Vencida")))))," ")</f>
        <v xml:space="preserve"> </v>
      </c>
    </row>
    <row r="29" spans="2:8" ht="18" customHeight="1" x14ac:dyDescent="0.35">
      <c r="B29" s="28" t="str">
        <f>IF('P1'!A5=C5,ROW()-25,"")</f>
        <v/>
      </c>
      <c r="C29" s="34" t="str">
        <f>IF('P1'!A5=C5,IF('P1'!C5="","",'P1'!C5),"")</f>
        <v/>
      </c>
      <c r="D29" s="35" t="str">
        <f>IF('P1'!A5=C5,IF('P1'!D5="","",TEXT('P1'!D5,"DD/MM/YY")),"")</f>
        <v/>
      </c>
      <c r="E29" s="36" t="str">
        <f>IF('P1'!A5=C5,IF('P1'!E5="","",TEXT('P1'!E5,"DD/MM/YY")),"")</f>
        <v/>
      </c>
      <c r="F29" s="37" t="str">
        <f>IF('P1'!A5=C5,IF('P1'!F5="","",'P1'!F5),"")</f>
        <v/>
      </c>
      <c r="G29" s="38" t="str">
        <f>IF('P1'!A5=C5,IF('P1'!H5="","",'P1'!H5),"")</f>
        <v/>
      </c>
      <c r="H29" s="39" t="str">
        <f>IF('P1'!A5=C5,IF('P1'!C5=""," ",IF('P1'!H5=1,"✅ Completada",IF('P1'!F5="","—",IF('P1'!F5&gt;5,"🟢 En tiempo",IF('P1'!F5&gt;=1,"🟡 Por vencer","🔴 Vencida")))))," ")</f>
        <v xml:space="preserve"> </v>
      </c>
    </row>
    <row r="30" spans="2:8" ht="18" customHeight="1" x14ac:dyDescent="0.35">
      <c r="B30" s="28" t="str">
        <f>IF('P1'!A6=C5,ROW()-25,"")</f>
        <v/>
      </c>
      <c r="C30" s="29" t="str">
        <f>IF('P1'!A6=C5,IF('P1'!C6="","",'P1'!C6),"")</f>
        <v/>
      </c>
      <c r="D30" s="30" t="str">
        <f>IF('P1'!A6=C5,IF('P1'!D6="","",TEXT('P1'!D6,"DD/MM/YY")),"")</f>
        <v/>
      </c>
      <c r="E30" s="31" t="str">
        <f>IF('P1'!A6=C5,IF('P1'!E6="","",TEXT('P1'!E6,"DD/MM/YY")),"")</f>
        <v/>
      </c>
      <c r="F30" s="32" t="str">
        <f>IF('P1'!A6=C5,IF('P1'!F6="","",'P1'!F6),"")</f>
        <v/>
      </c>
      <c r="G30" s="33" t="str">
        <f>IF('P1'!A6=C5,IF('P1'!H6="","",'P1'!H6),"")</f>
        <v/>
      </c>
      <c r="H30" s="48" t="str">
        <f>IF('P1'!A6=C5,IF('P1'!C6=""," ",IF('P1'!H6=1,"✅ Completada",IF('P1'!F6="","—",IF('P1'!F6&gt;5,"🟢 En tiempo",IF('P1'!F6&gt;=1,"🟡 Por vencer","🔴 Vencida")))))," ")</f>
        <v xml:space="preserve"> </v>
      </c>
    </row>
    <row r="31" spans="2:8" ht="18" customHeight="1" x14ac:dyDescent="0.35">
      <c r="B31" s="28" t="str">
        <f>IF('P1'!A7=C5,ROW()-25,"")</f>
        <v/>
      </c>
      <c r="C31" s="34" t="str">
        <f>IF('P1'!A7=C5,IF('P1'!C7="","",'P1'!C7),"")</f>
        <v/>
      </c>
      <c r="D31" s="35" t="str">
        <f>IF('P1'!A7=C5,IF('P1'!D7="","",TEXT('P1'!D7,"DD/MM/YY")),"")</f>
        <v/>
      </c>
      <c r="E31" s="36" t="str">
        <f>IF('P1'!A7=C5,IF('P1'!E7="","",TEXT('P1'!E7,"DD/MM/YY")),"")</f>
        <v/>
      </c>
      <c r="F31" s="37" t="str">
        <f>IF('P1'!A7=C5,IF('P1'!F7="","",'P1'!F7),"")</f>
        <v/>
      </c>
      <c r="G31" s="38" t="str">
        <f>IF('P1'!A7=C5,IF('P1'!H7="","",'P1'!H7),"")</f>
        <v/>
      </c>
      <c r="H31" s="39" t="str">
        <f>IF('P1'!A7=C5,IF('P1'!C7=""," ",IF('P1'!H7=1,"✅ Completada",IF('P1'!F7="","—",IF('P1'!F7&gt;5,"🟢 En tiempo",IF('P1'!F7&gt;=1,"🟡 Por vencer","🔴 Vencida")))))," ")</f>
        <v xml:space="preserve"> </v>
      </c>
    </row>
    <row r="32" spans="2:8" ht="18" customHeight="1" x14ac:dyDescent="0.35">
      <c r="B32" s="28" t="str">
        <f>IF('P1'!A8=C5,ROW()-25,"")</f>
        <v/>
      </c>
      <c r="C32" s="29" t="str">
        <f>IF('P1'!A8=C5,IF('P1'!C8="","",'P1'!C8),"")</f>
        <v/>
      </c>
      <c r="D32" s="30" t="str">
        <f>IF('P1'!A8=C5,IF('P1'!D8="","",TEXT('P1'!D8,"DD/MM/YY")),"")</f>
        <v/>
      </c>
      <c r="E32" s="31" t="str">
        <f>IF('P1'!A8=C5,IF('P1'!E8="","",TEXT('P1'!E8,"DD/MM/YY")),"")</f>
        <v/>
      </c>
      <c r="F32" s="32" t="str">
        <f>IF('P1'!A8=C5,IF('P1'!F8="","",'P1'!F8),"")</f>
        <v/>
      </c>
      <c r="G32" s="33" t="str">
        <f>IF('P1'!A8=C5,IF('P1'!H8="","",'P1'!H8),"")</f>
        <v/>
      </c>
      <c r="H32" s="48" t="str">
        <f>IF('P1'!A8=C5,IF('P1'!C8=""," ",IF('P1'!H8=1,"✅ Completada",IF('P1'!F8="","—",IF('P1'!F8&gt;5,"🟢 En tiempo",IF('P1'!F8&gt;=1,"🟡 Por vencer","🔴 Vencida")))))," ")</f>
        <v xml:space="preserve"> </v>
      </c>
    </row>
    <row r="33" spans="2:8" ht="18" customHeight="1" x14ac:dyDescent="0.35">
      <c r="B33" s="28" t="str">
        <f>IF('P1'!A9=C5,ROW()-25,"")</f>
        <v/>
      </c>
      <c r="C33" s="34" t="str">
        <f>IF('P1'!A9=C5,IF('P1'!C9="","",'P1'!C9),"")</f>
        <v/>
      </c>
      <c r="D33" s="35" t="str">
        <f>IF('P1'!A9=C5,IF('P1'!D9="","",TEXT('P1'!D9,"DD/MM/YY")),"")</f>
        <v/>
      </c>
      <c r="E33" s="36" t="str">
        <f>IF('P1'!A9=C5,IF('P1'!E9="","",TEXT('P1'!E9,"DD/MM/YY")),"")</f>
        <v/>
      </c>
      <c r="F33" s="37" t="str">
        <f>IF('P1'!A9=C5,IF('P1'!F9="","",'P1'!F9),"")</f>
        <v/>
      </c>
      <c r="G33" s="38" t="str">
        <f>IF('P1'!A9=C5,IF('P1'!H9="","",'P1'!H9),"")</f>
        <v/>
      </c>
      <c r="H33" s="39" t="str">
        <f>IF('P1'!A9=C5,IF('P1'!C9=""," ",IF('P1'!H9=1,"✅ Completada",IF('P1'!F9="","—",IF('P1'!F9&gt;5,"🟢 En tiempo",IF('P1'!F9&gt;=1,"🟡 Por vencer","🔴 Vencida")))))," ")</f>
        <v xml:space="preserve"> </v>
      </c>
    </row>
    <row r="34" spans="2:8" ht="18" customHeight="1" x14ac:dyDescent="0.35">
      <c r="B34" s="28" t="str">
        <f>IF('P1'!A10=C5,ROW()-25,"")</f>
        <v/>
      </c>
      <c r="C34" s="29" t="str">
        <f>IF('P1'!A10=C5,IF('P1'!C10="","",'P1'!C10),"")</f>
        <v/>
      </c>
      <c r="D34" s="30" t="str">
        <f>IF('P1'!A10=C5,IF('P1'!D10="","",TEXT('P1'!D10,"DD/MM/YY")),"")</f>
        <v/>
      </c>
      <c r="E34" s="31" t="str">
        <f>IF('P1'!A10=C5,IF('P1'!E10="","",TEXT('P1'!E10,"DD/MM/YY")),"")</f>
        <v/>
      </c>
      <c r="F34" s="32" t="str">
        <f>IF('P1'!A10=C5,IF('P1'!F10="","",'P1'!F10),"")</f>
        <v/>
      </c>
      <c r="G34" s="33" t="str">
        <f>IF('P1'!A10=C5,IF('P1'!H10="","",'P1'!H10),"")</f>
        <v/>
      </c>
      <c r="H34" s="48" t="str">
        <f>IF('P1'!A10=C5,IF('P1'!C10=""," ",IF('P1'!H10=1,"✅ Completada",IF('P1'!F10="","—",IF('P1'!F10&gt;5,"🟢 En tiempo",IF('P1'!F10&gt;=1,"🟡 Por vencer","🔴 Vencida")))))," ")</f>
        <v xml:space="preserve"> </v>
      </c>
    </row>
    <row r="35" spans="2:8" ht="18" customHeight="1" x14ac:dyDescent="0.35">
      <c r="B35" s="28" t="str">
        <f>IF('P1'!A11=C5,ROW()-25,"")</f>
        <v/>
      </c>
      <c r="C35" s="34" t="str">
        <f>IF('P1'!A11=C5,IF('P1'!C11="","",'P1'!C11),"")</f>
        <v/>
      </c>
      <c r="D35" s="35" t="str">
        <f>IF('P1'!A11=C5,IF('P1'!D11="","",TEXT('P1'!D11,"DD/MM/YY")),"")</f>
        <v/>
      </c>
      <c r="E35" s="36" t="str">
        <f>IF('P1'!A11=C5,IF('P1'!E11="","",TEXT('P1'!E11,"DD/MM/YY")),"")</f>
        <v/>
      </c>
      <c r="F35" s="37" t="str">
        <f>IF('P1'!A11=C5,IF('P1'!F11="","",'P1'!F11),"")</f>
        <v/>
      </c>
      <c r="G35" s="38" t="str">
        <f>IF('P1'!A11=C5,IF('P1'!H11="","",'P1'!H11),"")</f>
        <v/>
      </c>
      <c r="H35" s="39" t="str">
        <f>IF('P1'!A11=C5,IF('P1'!C11=""," ",IF('P1'!H11=1,"✅ Completada",IF('P1'!F11="","—",IF('P1'!F11&gt;5,"🟢 En tiempo",IF('P1'!F11&gt;=1,"🟡 Por vencer","🔴 Vencida")))))," ")</f>
        <v xml:space="preserve"> </v>
      </c>
    </row>
    <row r="36" spans="2:8" ht="18" customHeight="1" x14ac:dyDescent="0.35">
      <c r="B36" s="28" t="str">
        <f>IF('P1'!A12=C5,ROW()-25,"")</f>
        <v/>
      </c>
      <c r="C36" s="29" t="str">
        <f>IF('P1'!A12=C5,IF('P1'!C12="","",'P1'!C12),"")</f>
        <v/>
      </c>
      <c r="D36" s="30" t="str">
        <f>IF('P1'!A12=C5,IF('P1'!D12="","",TEXT('P1'!D12,"DD/MM/YY")),"")</f>
        <v/>
      </c>
      <c r="E36" s="31" t="str">
        <f>IF('P1'!A12=C5,IF('P1'!E12="","",TEXT('P1'!E12,"DD/MM/YY")),"")</f>
        <v/>
      </c>
      <c r="F36" s="32" t="str">
        <f>IF('P1'!A12=C5,IF('P1'!F12="","",'P1'!F12),"")</f>
        <v/>
      </c>
      <c r="G36" s="33" t="str">
        <f>IF('P1'!A12=C5,IF('P1'!H12="","",'P1'!H12),"")</f>
        <v/>
      </c>
      <c r="H36" s="48" t="str">
        <f>IF('P1'!A12=C5,IF('P1'!C12=""," ",IF('P1'!H12=1,"✅ Completada",IF('P1'!F12="","—",IF('P1'!F12&gt;5,"🟢 En tiempo",IF('P1'!F12&gt;=1,"🟡 Por vencer","🔴 Vencida")))))," ")</f>
        <v xml:space="preserve"> </v>
      </c>
    </row>
    <row r="37" spans="2:8" ht="18" customHeight="1" x14ac:dyDescent="0.35">
      <c r="B37" s="28" t="str">
        <f>IF('P1'!A13=C5,ROW()-25,"")</f>
        <v/>
      </c>
      <c r="C37" s="34" t="str">
        <f>IF('P1'!A13=C5,IF('P1'!C13="","",'P1'!C13),"")</f>
        <v/>
      </c>
      <c r="D37" s="35" t="str">
        <f>IF('P1'!A13=C5,IF('P1'!D13="","",TEXT('P1'!D13,"DD/MM/YY")),"")</f>
        <v/>
      </c>
      <c r="E37" s="36" t="str">
        <f>IF('P1'!A13=C5,IF('P1'!E13="","",TEXT('P1'!E13,"DD/MM/YY")),"")</f>
        <v/>
      </c>
      <c r="F37" s="37" t="str">
        <f>IF('P1'!A13=C5,IF('P1'!F13="","",'P1'!F13),"")</f>
        <v/>
      </c>
      <c r="G37" s="38" t="str">
        <f>IF('P1'!A13=C5,IF('P1'!H13="","",'P1'!H13),"")</f>
        <v/>
      </c>
      <c r="H37" s="39" t="str">
        <f>IF('P1'!A13=C5,IF('P1'!C13=""," ",IF('P1'!H13=1,"✅ Completada",IF('P1'!F13="","—",IF('P1'!F13&gt;5,"🟢 En tiempo",IF('P1'!F13&gt;=1,"🟡 Por vencer","🔴 Vencida")))))," ")</f>
        <v xml:space="preserve"> </v>
      </c>
    </row>
    <row r="38" spans="2:8" ht="18" customHeight="1" x14ac:dyDescent="0.35">
      <c r="B38" s="28" t="str">
        <f>IF('P1'!A14=C5,ROW()-25,"")</f>
        <v/>
      </c>
      <c r="C38" s="29" t="str">
        <f>IF('P1'!A14=C5,IF('P1'!C14="","",'P1'!C14),"")</f>
        <v/>
      </c>
      <c r="D38" s="30" t="str">
        <f>IF('P1'!A14=C5,IF('P1'!D14="","",TEXT('P1'!D14,"DD/MM/YY")),"")</f>
        <v/>
      </c>
      <c r="E38" s="31" t="str">
        <f>IF('P1'!A14=C5,IF('P1'!E14="","",TEXT('P1'!E14,"DD/MM/YY")),"")</f>
        <v/>
      </c>
      <c r="F38" s="32" t="str">
        <f>IF('P1'!A14=C5,IF('P1'!F14="","",'P1'!F14),"")</f>
        <v/>
      </c>
      <c r="G38" s="33" t="str">
        <f>IF('P1'!A14=C5,IF('P1'!H14="","",'P1'!H14),"")</f>
        <v/>
      </c>
      <c r="H38" s="48" t="str">
        <f>IF('P1'!A14=C5,IF('P1'!C14=""," ",IF('P1'!H14=1,"✅ Completada",IF('P1'!F14="","—",IF('P1'!F14&gt;5,"🟢 En tiempo",IF('P1'!F14&gt;=1,"🟡 Por vencer","🔴 Vencida")))))," ")</f>
        <v xml:space="preserve"> </v>
      </c>
    </row>
    <row r="39" spans="2:8" ht="18" customHeight="1" x14ac:dyDescent="0.35">
      <c r="B39" s="28" t="str">
        <f>IF('P1'!A15=C5,ROW()-25,"")</f>
        <v/>
      </c>
      <c r="C39" s="34" t="str">
        <f>IF('P1'!A15=C5,IF('P1'!C15="","",'P1'!C15),"")</f>
        <v/>
      </c>
      <c r="D39" s="35" t="str">
        <f>IF('P1'!A15=C5,IF('P1'!D15="","",TEXT('P1'!D15,"DD/MM/YY")),"")</f>
        <v/>
      </c>
      <c r="E39" s="36" t="str">
        <f>IF('P1'!A15=C5,IF('P1'!E15="","",TEXT('P1'!E15,"DD/MM/YY")),"")</f>
        <v/>
      </c>
      <c r="F39" s="37" t="str">
        <f>IF('P1'!A15=C5,IF('P1'!F15="","",'P1'!F15),"")</f>
        <v/>
      </c>
      <c r="G39" s="38" t="str">
        <f>IF('P1'!A15=C5,IF('P1'!H15="","",'P1'!H15),"")</f>
        <v/>
      </c>
      <c r="H39" s="39" t="str">
        <f>IF('P1'!A15=C5,IF('P1'!C15=""," ",IF('P1'!H15=1,"✅ Completada",IF('P1'!F15="","—",IF('P1'!F15&gt;5,"🟢 En tiempo",IF('P1'!F15&gt;=1,"🟡 Por vencer","🔴 Vencida")))))," ")</f>
        <v xml:space="preserve"> </v>
      </c>
    </row>
    <row r="40" spans="2:8" ht="18" customHeight="1" x14ac:dyDescent="0.35">
      <c r="B40" s="40" t="str">
        <f>IF('P1'!A16=C5,ROW()-25,"")</f>
        <v/>
      </c>
      <c r="C40" s="41" t="str">
        <f>IF('P1'!A16=C5,IF('P1'!C16="","",'P1'!C16),"")</f>
        <v/>
      </c>
      <c r="D40" s="42" t="str">
        <f>IF('P1'!A16=C5,IF('P1'!D16="","",TEXT('P1'!D16,"DD/MM/YY")),"")</f>
        <v/>
      </c>
      <c r="E40" s="43" t="str">
        <f>IF('P1'!A16=C5,IF('P1'!E16="","",TEXT('P1'!E16,"DD/MM/YY")),"")</f>
        <v/>
      </c>
      <c r="F40" s="44" t="str">
        <f>IF('P1'!A16=C5,IF('P1'!F16="","",'P1'!F16),"")</f>
        <v/>
      </c>
      <c r="G40" s="45" t="str">
        <f>IF('P1'!A16=C5,IF('P1'!H16="","",'P1'!H16),"")</f>
        <v/>
      </c>
      <c r="H40" s="46" t="str">
        <f>IF('P1'!A16=C5,IF('P1'!C16=""," ",IF('P1'!H16=1,"✅ Completada",IF('P1'!F16="","—",IF('P1'!F16&gt;5,"🟢 En tiempo",IF('P1'!F16&gt;=1,"🟡 Por vencer","🔴 Vencida")))))," ")</f>
        <v xml:space="preserve"> </v>
      </c>
    </row>
    <row r="42" spans="2:8" ht="21.75" customHeight="1" x14ac:dyDescent="0.35">
      <c r="B42" s="108" t="s">
        <v>465</v>
      </c>
      <c r="C42" s="91"/>
      <c r="D42" s="115" t="str">
        <f>IF('P1'!A2=C5,TEXT(AVERAGE('P1'!H2:H16),"0%")&amp;"  ("&amp;COUNTIF('P1'!H2:H16,1)&amp;"/"&amp;COUNTA('P1'!C2:C16)&amp;" tareas)","")</f>
        <v/>
      </c>
      <c r="E42" s="91"/>
      <c r="F42" s="91"/>
      <c r="G42" s="112" t="str">
        <f>IF('P1'!A2=C5,IF(AVERAGE('P1'!H2:H16)=1,"✅ COMPLETADO",IF(AVERAGE('P1'!H2:H16)&gt;=0.7,"🟢 BUEN RITMO",IF(AVERAGE('P1'!H2:H16)&gt;=0.4,"🟡 EN PROGRESO","🔴 REZAGADO"))),"")</f>
        <v/>
      </c>
      <c r="H42" s="91"/>
    </row>
    <row r="44" spans="2:8" ht="15.75" customHeight="1" x14ac:dyDescent="0.35">
      <c r="B44" s="111" t="s">
        <v>466</v>
      </c>
      <c r="C44" s="74"/>
      <c r="D44" s="74"/>
      <c r="E44" s="74"/>
      <c r="F44" s="74"/>
      <c r="G44" s="74"/>
      <c r="H44" s="74"/>
    </row>
    <row r="45" spans="2:8" ht="3" customHeight="1" x14ac:dyDescent="0.35">
      <c r="B45" s="96"/>
      <c r="C45" s="74"/>
      <c r="D45" s="74"/>
      <c r="E45" s="74"/>
      <c r="F45" s="74"/>
      <c r="G45" s="74"/>
      <c r="H45" s="74"/>
    </row>
  </sheetData>
  <mergeCells count="34">
    <mergeCell ref="B3:H3"/>
    <mergeCell ref="B9:H9"/>
    <mergeCell ref="E17:H17"/>
    <mergeCell ref="C21:D21"/>
    <mergeCell ref="C11:D11"/>
    <mergeCell ref="E20:H20"/>
    <mergeCell ref="B2:H2"/>
    <mergeCell ref="E19:H19"/>
    <mergeCell ref="C17:D17"/>
    <mergeCell ref="F11:H11"/>
    <mergeCell ref="B16:D16"/>
    <mergeCell ref="F10:H10"/>
    <mergeCell ref="C19:D19"/>
    <mergeCell ref="D5:H5"/>
    <mergeCell ref="C13:D13"/>
    <mergeCell ref="F12:H12"/>
    <mergeCell ref="C18:D18"/>
    <mergeCell ref="B7:H7"/>
    <mergeCell ref="B45:H45"/>
    <mergeCell ref="E22:H22"/>
    <mergeCell ref="C20:D20"/>
    <mergeCell ref="E18:H18"/>
    <mergeCell ref="C10:D10"/>
    <mergeCell ref="F13:H13"/>
    <mergeCell ref="B42:C42"/>
    <mergeCell ref="E21:H21"/>
    <mergeCell ref="C22:D22"/>
    <mergeCell ref="B44:H44"/>
    <mergeCell ref="G42:H42"/>
    <mergeCell ref="E16:H16"/>
    <mergeCell ref="B24:H24"/>
    <mergeCell ref="B15:H15"/>
    <mergeCell ref="D42:F42"/>
    <mergeCell ref="C12:D12"/>
  </mergeCells>
  <conditionalFormatting sqref="E11:H11">
    <cfRule type="expression" dxfId="53" priority="2">
      <formula>AND(ISNUMBER(E11),E11&gt;=20)</formula>
    </cfRule>
    <cfRule type="expression" dxfId="52" priority="3">
      <formula>AND(ISNUMBER(E11),E11&gt;=7,E11&lt;20)</formula>
    </cfRule>
    <cfRule type="expression" dxfId="51" priority="4">
      <formula>AND(ISNUMBER(E11),E11&lt;7)</formula>
    </cfRule>
  </conditionalFormatting>
  <conditionalFormatting sqref="E12:H12">
    <cfRule type="expression" dxfId="50" priority="5">
      <formula>AND(ISNUMBER(E12),E12&gt;=20)</formula>
    </cfRule>
    <cfRule type="expression" dxfId="49" priority="6">
      <formula>AND(ISNUMBER(E12),E12&gt;=7,E12&lt;20)</formula>
    </cfRule>
    <cfRule type="expression" dxfId="48" priority="7">
      <formula>AND(ISNUMBER(E12),E12&lt;7)</formula>
    </cfRule>
  </conditionalFormatting>
  <conditionalFormatting sqref="E13:H13">
    <cfRule type="expression" dxfId="47" priority="8">
      <formula>AND(ISNUMBER(E13),E13&gt;=30)</formula>
    </cfRule>
    <cfRule type="expression" dxfId="46" priority="9">
      <formula>AND(ISNUMBER(E13),E13&gt;=21,E13&lt;30)</formula>
    </cfRule>
    <cfRule type="expression" dxfId="45" priority="10">
      <formula>AND(ISNUMBER(E13),E13&lt;=20)</formula>
    </cfRule>
  </conditionalFormatting>
  <conditionalFormatting sqref="F26:H26">
    <cfRule type="expression" dxfId="44" priority="11">
      <formula>OR(G26=1,AND(ISNUMBER(F26),F26&gt;5,G26&lt;1))</formula>
    </cfRule>
    <cfRule type="expression" dxfId="43" priority="12">
      <formula>AND(ISNUMBER(F26),F26&gt;=1,F26&lt;=5,G26&lt;1)</formula>
    </cfRule>
    <cfRule type="expression" dxfId="42" priority="13">
      <formula>AND(ISNUMBER(F26),F26&lt;=0,G26&lt;1)</formula>
    </cfRule>
  </conditionalFormatting>
  <conditionalFormatting sqref="F27:H27">
    <cfRule type="expression" dxfId="41" priority="14">
      <formula>OR(G27=1,AND(ISNUMBER(F27),F27&gt;5,G27&lt;1))</formula>
    </cfRule>
    <cfRule type="expression" dxfId="40" priority="15">
      <formula>AND(ISNUMBER(F27),F27&gt;=1,F27&lt;=5,G27&lt;1)</formula>
    </cfRule>
    <cfRule type="expression" dxfId="39" priority="16">
      <formula>AND(ISNUMBER(F27),F27&lt;=0,G27&lt;1)</formula>
    </cfRule>
  </conditionalFormatting>
  <conditionalFormatting sqref="F28:H28">
    <cfRule type="expression" dxfId="38" priority="17">
      <formula>OR(G28=1,AND(ISNUMBER(F28),F28&gt;5,G28&lt;1))</formula>
    </cfRule>
    <cfRule type="expression" dxfId="37" priority="18">
      <formula>AND(ISNUMBER(F28),F28&gt;=1,F28&lt;=5,G28&lt;1)</formula>
    </cfRule>
    <cfRule type="expression" dxfId="36" priority="19">
      <formula>AND(ISNUMBER(F28),F28&lt;=0,G28&lt;1)</formula>
    </cfRule>
  </conditionalFormatting>
  <conditionalFormatting sqref="F29:H29">
    <cfRule type="expression" dxfId="35" priority="20">
      <formula>OR(G29=1,AND(ISNUMBER(F29),F29&gt;5,G29&lt;1))</formula>
    </cfRule>
    <cfRule type="expression" dxfId="34" priority="21">
      <formula>AND(ISNUMBER(F29),F29&gt;=1,F29&lt;=5,G29&lt;1)</formula>
    </cfRule>
    <cfRule type="expression" dxfId="33" priority="22">
      <formula>AND(ISNUMBER(F29),F29&lt;=0,G29&lt;1)</formula>
    </cfRule>
  </conditionalFormatting>
  <conditionalFormatting sqref="F30:H30">
    <cfRule type="expression" dxfId="32" priority="23">
      <formula>OR(G30=1,AND(ISNUMBER(F30),F30&gt;5,G30&lt;1))</formula>
    </cfRule>
    <cfRule type="expression" dxfId="31" priority="24">
      <formula>AND(ISNUMBER(F30),F30&gt;=1,F30&lt;=5,G30&lt;1)</formula>
    </cfRule>
    <cfRule type="expression" dxfId="30" priority="25">
      <formula>AND(ISNUMBER(F30),F30&lt;=0,G30&lt;1)</formula>
    </cfRule>
  </conditionalFormatting>
  <conditionalFormatting sqref="F31:H31">
    <cfRule type="expression" dxfId="29" priority="26">
      <formula>OR(G31=1,AND(ISNUMBER(F31),F31&gt;5,G31&lt;1))</formula>
    </cfRule>
    <cfRule type="expression" dxfId="28" priority="27">
      <formula>AND(ISNUMBER(F31),F31&gt;=1,F31&lt;=5,G31&lt;1)</formula>
    </cfRule>
    <cfRule type="expression" dxfId="27" priority="28">
      <formula>AND(ISNUMBER(F31),F31&lt;=0,G31&lt;1)</formula>
    </cfRule>
  </conditionalFormatting>
  <conditionalFormatting sqref="F32:H32">
    <cfRule type="expression" dxfId="26" priority="29">
      <formula>OR(G32=1,AND(ISNUMBER(F32),F32&gt;5,G32&lt;1))</formula>
    </cfRule>
    <cfRule type="expression" dxfId="25" priority="30">
      <formula>AND(ISNUMBER(F32),F32&gt;=1,F32&lt;=5,G32&lt;1)</formula>
    </cfRule>
    <cfRule type="expression" dxfId="24" priority="31">
      <formula>AND(ISNUMBER(F32),F32&lt;=0,G32&lt;1)</formula>
    </cfRule>
  </conditionalFormatting>
  <conditionalFormatting sqref="F33:H33">
    <cfRule type="expression" dxfId="23" priority="32">
      <formula>OR(G33=1,AND(ISNUMBER(F33),F33&gt;5,G33&lt;1))</formula>
    </cfRule>
    <cfRule type="expression" dxfId="22" priority="33">
      <formula>AND(ISNUMBER(F33),F33&gt;=1,F33&lt;=5,G33&lt;1)</formula>
    </cfRule>
    <cfRule type="expression" dxfId="21" priority="34">
      <formula>AND(ISNUMBER(F33),F33&lt;=0,G33&lt;1)</formula>
    </cfRule>
  </conditionalFormatting>
  <conditionalFormatting sqref="F34:H34">
    <cfRule type="expression" dxfId="20" priority="35">
      <formula>OR(G34=1,AND(ISNUMBER(F34),F34&gt;5,G34&lt;1))</formula>
    </cfRule>
    <cfRule type="expression" dxfId="19" priority="36">
      <formula>AND(ISNUMBER(F34),F34&gt;=1,F34&lt;=5,G34&lt;1)</formula>
    </cfRule>
    <cfRule type="expression" dxfId="18" priority="37">
      <formula>AND(ISNUMBER(F34),F34&lt;=0,G34&lt;1)</formula>
    </cfRule>
  </conditionalFormatting>
  <conditionalFormatting sqref="F35:H35">
    <cfRule type="expression" dxfId="17" priority="38">
      <formula>OR(G35=1,AND(ISNUMBER(F35),F35&gt;5,G35&lt;1))</formula>
    </cfRule>
    <cfRule type="expression" dxfId="16" priority="39">
      <formula>AND(ISNUMBER(F35),F35&gt;=1,F35&lt;=5,G35&lt;1)</formula>
    </cfRule>
    <cfRule type="expression" dxfId="15" priority="40">
      <formula>AND(ISNUMBER(F35),F35&lt;=0,G35&lt;1)</formula>
    </cfRule>
  </conditionalFormatting>
  <conditionalFormatting sqref="F36:H36">
    <cfRule type="expression" dxfId="14" priority="41">
      <formula>OR(G36=1,AND(ISNUMBER(F36),F36&gt;5,G36&lt;1))</formula>
    </cfRule>
    <cfRule type="expression" dxfId="13" priority="42">
      <formula>AND(ISNUMBER(F36),F36&gt;=1,F36&lt;=5,G36&lt;1)</formula>
    </cfRule>
    <cfRule type="expression" dxfId="12" priority="43">
      <formula>AND(ISNUMBER(F36),F36&lt;=0,G36&lt;1)</formula>
    </cfRule>
  </conditionalFormatting>
  <conditionalFormatting sqref="F37:H37">
    <cfRule type="expression" dxfId="11" priority="44">
      <formula>OR(G37=1,AND(ISNUMBER(F37),F37&gt;5,G37&lt;1))</formula>
    </cfRule>
    <cfRule type="expression" dxfId="10" priority="45">
      <formula>AND(ISNUMBER(F37),F37&gt;=1,F37&lt;=5,G37&lt;1)</formula>
    </cfRule>
    <cfRule type="expression" dxfId="9" priority="46">
      <formula>AND(ISNUMBER(F37),F37&lt;=0,G37&lt;1)</formula>
    </cfRule>
  </conditionalFormatting>
  <conditionalFormatting sqref="F38:H38">
    <cfRule type="expression" dxfId="8" priority="47">
      <formula>OR(G38=1,AND(ISNUMBER(F38),F38&gt;5,G38&lt;1))</formula>
    </cfRule>
    <cfRule type="expression" dxfId="7" priority="48">
      <formula>AND(ISNUMBER(F38),F38&gt;=1,F38&lt;=5,G38&lt;1)</formula>
    </cfRule>
    <cfRule type="expression" dxfId="6" priority="49">
      <formula>AND(ISNUMBER(F38),F38&lt;=0,G38&lt;1)</formula>
    </cfRule>
  </conditionalFormatting>
  <conditionalFormatting sqref="F39:H39">
    <cfRule type="expression" dxfId="5" priority="50">
      <formula>OR(G39=1,AND(ISNUMBER(F39),F39&gt;5,G39&lt;1))</formula>
    </cfRule>
    <cfRule type="expression" dxfId="4" priority="51">
      <formula>AND(ISNUMBER(F39),F39&gt;=1,F39&lt;=5,G39&lt;1)</formula>
    </cfRule>
    <cfRule type="expression" dxfId="3" priority="52">
      <formula>AND(ISNUMBER(F39),F39&lt;=0,G39&lt;1)</formula>
    </cfRule>
  </conditionalFormatting>
  <conditionalFormatting sqref="F40:H40">
    <cfRule type="expression" dxfId="2" priority="53">
      <formula>OR(G40=1,AND(ISNUMBER(F40),F40&gt;5,G40&lt;1))</formula>
    </cfRule>
    <cfRule type="expression" dxfId="1" priority="54">
      <formula>AND(ISNUMBER(F40),F40&gt;=1,F40&lt;=5,G40&lt;1)</formula>
    </cfRule>
    <cfRule type="expression" dxfId="0" priority="55">
      <formula>AND(ISNUMBER(F40),F40&lt;=0,G40&lt;1)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467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53</v>
      </c>
      <c r="C4" s="63" t="s">
        <v>473</v>
      </c>
      <c r="D4" s="64" t="s">
        <v>474</v>
      </c>
      <c r="E4" s="65">
        <v>46055</v>
      </c>
      <c r="F4" s="65">
        <v>46065</v>
      </c>
      <c r="G4" s="66">
        <f t="shared" ref="G4:G18" ca="1" si="0">IF(F4="","",F4-TODAY())</f>
        <v>-7</v>
      </c>
      <c r="H4" s="67">
        <v>38</v>
      </c>
      <c r="I4" s="68" t="str">
        <f t="shared" ref="I4:I18" ca="1" si="1">IF(D4="","",IF(H4=100,"✅ Completada",IF(F4="","",IF(F4&lt;TODAY(),"🔴 Vencida",IF(G4&lt;=5,"🟡 Por vencer","🟢 En tiempo")))))</f>
        <v>🔴 Vencida</v>
      </c>
      <c r="J4" s="69" t="str">
        <f t="shared" ref="J4:J18" si="2">IF(H4="","",REPT("█",ROUND(H4/10,0))&amp;" "&amp;H4&amp;"%")</f>
        <v>████ 38%</v>
      </c>
    </row>
    <row r="5" spans="1:10" ht="22" customHeight="1" x14ac:dyDescent="0.35">
      <c r="A5" s="62">
        <v>2</v>
      </c>
      <c r="B5" s="62" t="s">
        <v>53</v>
      </c>
      <c r="C5" s="63" t="s">
        <v>473</v>
      </c>
      <c r="D5" s="64" t="s">
        <v>475</v>
      </c>
      <c r="E5" s="65">
        <v>46056</v>
      </c>
      <c r="F5" s="65">
        <v>46059</v>
      </c>
      <c r="G5" s="66">
        <f t="shared" ca="1" si="0"/>
        <v>-13</v>
      </c>
      <c r="H5" s="67">
        <v>16</v>
      </c>
      <c r="I5" s="68" t="str">
        <f t="shared" ca="1" si="1"/>
        <v>🔴 Vencida</v>
      </c>
      <c r="J5" s="69" t="str">
        <f t="shared" si="2"/>
        <v>██ 16%</v>
      </c>
    </row>
    <row r="6" spans="1:10" ht="22" customHeight="1" x14ac:dyDescent="0.35">
      <c r="A6" s="62">
        <v>3</v>
      </c>
      <c r="B6" s="62" t="s">
        <v>53</v>
      </c>
      <c r="C6" s="63" t="s">
        <v>473</v>
      </c>
      <c r="D6" s="64" t="s">
        <v>476</v>
      </c>
      <c r="E6" s="65">
        <v>46057</v>
      </c>
      <c r="F6" s="65">
        <v>46058</v>
      </c>
      <c r="G6" s="66">
        <f t="shared" ca="1" si="0"/>
        <v>-14</v>
      </c>
      <c r="H6" s="67">
        <v>9</v>
      </c>
      <c r="I6" s="68" t="str">
        <f t="shared" ca="1" si="1"/>
        <v>🔴 Vencida</v>
      </c>
      <c r="J6" s="69" t="str">
        <f t="shared" si="2"/>
        <v>█ 9%</v>
      </c>
    </row>
    <row r="7" spans="1:10" ht="22" customHeight="1" x14ac:dyDescent="0.35">
      <c r="A7" s="62">
        <v>4</v>
      </c>
      <c r="B7" s="62" t="s">
        <v>53</v>
      </c>
      <c r="C7" s="63" t="s">
        <v>473</v>
      </c>
      <c r="D7" s="64" t="s">
        <v>477</v>
      </c>
      <c r="E7" s="65">
        <v>46058</v>
      </c>
      <c r="F7" s="65">
        <v>46062</v>
      </c>
      <c r="G7" s="66">
        <f t="shared" ca="1" si="0"/>
        <v>-10</v>
      </c>
      <c r="H7" s="67">
        <v>20</v>
      </c>
      <c r="I7" s="68" t="str">
        <f t="shared" ca="1" si="1"/>
        <v>🔴 Vencida</v>
      </c>
      <c r="J7" s="69" t="str">
        <f t="shared" si="2"/>
        <v>██ 20%</v>
      </c>
    </row>
    <row r="8" spans="1:10" ht="22" customHeight="1" x14ac:dyDescent="0.35">
      <c r="A8" s="62">
        <v>5</v>
      </c>
      <c r="B8" s="62" t="s">
        <v>53</v>
      </c>
      <c r="C8" s="63" t="s">
        <v>473</v>
      </c>
      <c r="D8" s="64" t="s">
        <v>478</v>
      </c>
      <c r="E8" s="65">
        <v>46059</v>
      </c>
      <c r="F8" s="65">
        <v>46066</v>
      </c>
      <c r="G8" s="66">
        <f t="shared" ca="1" si="0"/>
        <v>-6</v>
      </c>
      <c r="H8" s="67">
        <v>66</v>
      </c>
      <c r="I8" s="68" t="str">
        <f t="shared" ca="1" si="1"/>
        <v>🔴 Vencida</v>
      </c>
      <c r="J8" s="69" t="str">
        <f t="shared" si="2"/>
        <v>███████ 66%</v>
      </c>
    </row>
    <row r="9" spans="1:10" ht="22" customHeight="1" x14ac:dyDescent="0.35">
      <c r="A9" s="62">
        <v>6</v>
      </c>
      <c r="B9" s="62" t="s">
        <v>53</v>
      </c>
      <c r="C9" s="63" t="s">
        <v>473</v>
      </c>
      <c r="D9" s="64" t="s">
        <v>479</v>
      </c>
      <c r="E9" s="65">
        <v>46060</v>
      </c>
      <c r="F9" s="65">
        <v>46068</v>
      </c>
      <c r="G9" s="66">
        <f t="shared" ca="1" si="0"/>
        <v>-4</v>
      </c>
      <c r="H9" s="67">
        <v>75</v>
      </c>
      <c r="I9" s="68" t="str">
        <f t="shared" ca="1" si="1"/>
        <v>🔴 Vencida</v>
      </c>
      <c r="J9" s="69" t="str">
        <f t="shared" si="2"/>
        <v>████████ 75%</v>
      </c>
    </row>
    <row r="10" spans="1:10" ht="22" customHeight="1" x14ac:dyDescent="0.35">
      <c r="A10" s="62">
        <v>7</v>
      </c>
      <c r="B10" s="62" t="s">
        <v>53</v>
      </c>
      <c r="C10" s="63" t="s">
        <v>473</v>
      </c>
      <c r="D10" s="64" t="s">
        <v>480</v>
      </c>
      <c r="E10" s="65">
        <v>46061</v>
      </c>
      <c r="F10" s="65">
        <v>46066</v>
      </c>
      <c r="G10" s="66">
        <f t="shared" ca="1" si="0"/>
        <v>-6</v>
      </c>
      <c r="H10" s="67">
        <v>62</v>
      </c>
      <c r="I10" s="68" t="str">
        <f t="shared" ca="1" si="1"/>
        <v>🔴 Vencida</v>
      </c>
      <c r="J10" s="69" t="str">
        <f t="shared" si="2"/>
        <v>██████ 62%</v>
      </c>
    </row>
    <row r="11" spans="1:10" ht="22" customHeight="1" x14ac:dyDescent="0.35">
      <c r="A11" s="62">
        <v>8</v>
      </c>
      <c r="B11" s="62" t="s">
        <v>53</v>
      </c>
      <c r="C11" s="63" t="s">
        <v>473</v>
      </c>
      <c r="D11" s="64" t="s">
        <v>481</v>
      </c>
      <c r="E11" s="65">
        <v>46062</v>
      </c>
      <c r="F11" s="65">
        <v>46066</v>
      </c>
      <c r="G11" s="66">
        <f t="shared" ca="1" si="0"/>
        <v>-6</v>
      </c>
      <c r="H11" s="67">
        <v>12</v>
      </c>
      <c r="I11" s="68" t="str">
        <f t="shared" ca="1" si="1"/>
        <v>🔴 Vencida</v>
      </c>
      <c r="J11" s="69" t="str">
        <f t="shared" si="2"/>
        <v>█ 12%</v>
      </c>
    </row>
    <row r="12" spans="1:10" ht="22" customHeight="1" x14ac:dyDescent="0.35">
      <c r="A12" s="62">
        <v>9</v>
      </c>
      <c r="B12" s="62" t="s">
        <v>53</v>
      </c>
      <c r="C12" s="63" t="s">
        <v>473</v>
      </c>
      <c r="D12" s="64" t="s">
        <v>482</v>
      </c>
      <c r="E12" s="65">
        <v>46063</v>
      </c>
      <c r="F12" s="65">
        <v>46072</v>
      </c>
      <c r="G12" s="66">
        <f t="shared" ca="1" si="0"/>
        <v>0</v>
      </c>
      <c r="H12" s="67">
        <v>57</v>
      </c>
      <c r="I12" s="68" t="str">
        <f t="shared" ca="1" si="1"/>
        <v>🟡 Por vencer</v>
      </c>
      <c r="J12" s="69" t="str">
        <f t="shared" si="2"/>
        <v>██████ 57%</v>
      </c>
    </row>
    <row r="13" spans="1:10" ht="22" customHeight="1" x14ac:dyDescent="0.35">
      <c r="A13" s="62">
        <v>10</v>
      </c>
      <c r="B13" s="62" t="s">
        <v>53</v>
      </c>
      <c r="C13" s="63" t="s">
        <v>473</v>
      </c>
      <c r="D13" s="64" t="s">
        <v>483</v>
      </c>
      <c r="E13" s="65">
        <v>46064</v>
      </c>
      <c r="F13" s="65">
        <v>46068</v>
      </c>
      <c r="G13" s="66">
        <f t="shared" ca="1" si="0"/>
        <v>-4</v>
      </c>
      <c r="H13" s="67">
        <v>33</v>
      </c>
      <c r="I13" s="68" t="str">
        <f t="shared" ca="1" si="1"/>
        <v>🔴 Vencida</v>
      </c>
      <c r="J13" s="69" t="str">
        <f t="shared" si="2"/>
        <v>███ 33%</v>
      </c>
    </row>
    <row r="14" spans="1:10" ht="22" customHeight="1" x14ac:dyDescent="0.35">
      <c r="A14" s="62">
        <v>11</v>
      </c>
      <c r="B14" s="62" t="s">
        <v>53</v>
      </c>
      <c r="C14" s="63" t="s">
        <v>473</v>
      </c>
      <c r="D14" s="64" t="s">
        <v>484</v>
      </c>
      <c r="E14" s="65">
        <v>46065</v>
      </c>
      <c r="F14" s="65">
        <v>46070</v>
      </c>
      <c r="G14" s="66">
        <f t="shared" ca="1" si="0"/>
        <v>-2</v>
      </c>
      <c r="H14" s="67">
        <v>80</v>
      </c>
      <c r="I14" s="68" t="str">
        <f t="shared" ca="1" si="1"/>
        <v>🔴 Vencida</v>
      </c>
      <c r="J14" s="69" t="str">
        <f t="shared" si="2"/>
        <v>████████ 80%</v>
      </c>
    </row>
    <row r="15" spans="1:10" ht="22" customHeight="1" x14ac:dyDescent="0.35">
      <c r="A15" s="62">
        <v>12</v>
      </c>
      <c r="B15" s="62" t="s">
        <v>53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53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53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53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11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500-000000000000}">
      <formula1>0</formula1>
      <formula2>100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486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58</v>
      </c>
      <c r="C4" s="63" t="s">
        <v>473</v>
      </c>
      <c r="D4" s="64" t="s">
        <v>487</v>
      </c>
      <c r="E4" s="65">
        <v>46071.258690879629</v>
      </c>
      <c r="F4" s="65">
        <v>46083.258690879629</v>
      </c>
      <c r="G4" s="66">
        <f t="shared" ref="G4:G18" ca="1" si="0">IF(F4="","",F4-TODAY())</f>
        <v>11.258690879629285</v>
      </c>
      <c r="H4" s="67">
        <v>85</v>
      </c>
      <c r="I4" s="68" t="str">
        <f t="shared" ref="I4:I18" ca="1" si="1">IF(D4="","",IF(H4=100,"✅ Completada",IF(F4="","",IF(F4&lt;TODAY(),"🔴 Vencida",IF(G4&lt;=5,"🟡 Por vencer","🟢 En tiempo")))))</f>
        <v>🟢 En tiempo</v>
      </c>
      <c r="J4" s="69" t="str">
        <f t="shared" ref="J4:J18" si="2">IF(H4="","",REPT("█",ROUND(H4/10,0))&amp;" "&amp;H4&amp;"%")</f>
        <v>█████████ 85%</v>
      </c>
    </row>
    <row r="5" spans="1:10" ht="22" customHeight="1" x14ac:dyDescent="0.35">
      <c r="A5" s="62">
        <v>2</v>
      </c>
      <c r="B5" s="62" t="s">
        <v>58</v>
      </c>
      <c r="C5" s="63" t="s">
        <v>473</v>
      </c>
      <c r="D5" s="64" t="s">
        <v>488</v>
      </c>
      <c r="E5" s="65">
        <v>46074.258690879629</v>
      </c>
      <c r="F5" s="65">
        <v>46081.258690879629</v>
      </c>
      <c r="G5" s="66">
        <f t="shared" ca="1" si="0"/>
        <v>9.2586908796292846</v>
      </c>
      <c r="H5" s="67">
        <v>60</v>
      </c>
      <c r="I5" s="68" t="str">
        <f t="shared" ca="1" si="1"/>
        <v>🟢 En tiempo</v>
      </c>
      <c r="J5" s="69" t="str">
        <f t="shared" si="2"/>
        <v>██████ 60%</v>
      </c>
    </row>
    <row r="6" spans="1:10" ht="22" customHeight="1" x14ac:dyDescent="0.35">
      <c r="A6" s="62">
        <v>3</v>
      </c>
      <c r="B6" s="62" t="s">
        <v>58</v>
      </c>
      <c r="C6" s="63" t="s">
        <v>473</v>
      </c>
      <c r="D6" s="64" t="s">
        <v>477</v>
      </c>
      <c r="E6" s="65">
        <v>46077.258690879629</v>
      </c>
      <c r="F6" s="65">
        <v>46092.258690879629</v>
      </c>
      <c r="G6" s="66">
        <f t="shared" ca="1" si="0"/>
        <v>20.258690879629285</v>
      </c>
      <c r="H6" s="67">
        <v>40</v>
      </c>
      <c r="I6" s="68" t="str">
        <f t="shared" ca="1" si="1"/>
        <v>🟢 En tiempo</v>
      </c>
      <c r="J6" s="69" t="str">
        <f t="shared" si="2"/>
        <v>████ 40%</v>
      </c>
    </row>
    <row r="7" spans="1:10" ht="22" customHeight="1" x14ac:dyDescent="0.35">
      <c r="A7" s="62">
        <v>4</v>
      </c>
      <c r="B7" s="62" t="s">
        <v>58</v>
      </c>
      <c r="C7" s="63" t="s">
        <v>473</v>
      </c>
      <c r="D7" s="64" t="s">
        <v>489</v>
      </c>
      <c r="E7" s="65">
        <v>46080.258690879629</v>
      </c>
      <c r="F7" s="65">
        <v>46095.258690879629</v>
      </c>
      <c r="G7" s="66">
        <f t="shared" ca="1" si="0"/>
        <v>23.258690879629285</v>
      </c>
      <c r="H7" s="67">
        <v>25</v>
      </c>
      <c r="I7" s="68" t="str">
        <f t="shared" ca="1" si="1"/>
        <v>🟢 En tiempo</v>
      </c>
      <c r="J7" s="69" t="str">
        <f t="shared" si="2"/>
        <v>███ 25%</v>
      </c>
    </row>
    <row r="8" spans="1:10" ht="22" customHeight="1" x14ac:dyDescent="0.35">
      <c r="A8" s="62">
        <v>5</v>
      </c>
      <c r="B8" s="62" t="s">
        <v>58</v>
      </c>
      <c r="C8" s="63" t="s">
        <v>473</v>
      </c>
      <c r="D8" s="64" t="s">
        <v>490</v>
      </c>
      <c r="E8" s="65">
        <v>46083.258690879629</v>
      </c>
      <c r="F8" s="65">
        <v>46089.258690879629</v>
      </c>
      <c r="G8" s="66">
        <f t="shared" ca="1" si="0"/>
        <v>17.258690879629285</v>
      </c>
      <c r="H8" s="67">
        <v>10</v>
      </c>
      <c r="I8" s="68" t="str">
        <f t="shared" ca="1" si="1"/>
        <v>🟢 En tiempo</v>
      </c>
      <c r="J8" s="69" t="str">
        <f t="shared" si="2"/>
        <v>█ 10%</v>
      </c>
    </row>
    <row r="9" spans="1:10" ht="22" customHeight="1" x14ac:dyDescent="0.35">
      <c r="A9" s="62">
        <v>6</v>
      </c>
      <c r="B9" s="62" t="s">
        <v>58</v>
      </c>
      <c r="C9" s="63" t="s">
        <v>473</v>
      </c>
      <c r="D9" s="64" t="s">
        <v>491</v>
      </c>
      <c r="E9" s="65">
        <v>46086.258690879629</v>
      </c>
      <c r="F9" s="65">
        <v>46093.258690879629</v>
      </c>
      <c r="G9" s="66">
        <f t="shared" ca="1" si="0"/>
        <v>21.258690879629285</v>
      </c>
      <c r="H9" s="67">
        <v>5</v>
      </c>
      <c r="I9" s="68" t="str">
        <f t="shared" ca="1" si="1"/>
        <v>🟢 En tiempo</v>
      </c>
      <c r="J9" s="69" t="str">
        <f t="shared" si="2"/>
        <v>█ 5%</v>
      </c>
    </row>
    <row r="10" spans="1:10" ht="22" customHeight="1" x14ac:dyDescent="0.35">
      <c r="A10" s="62">
        <v>7</v>
      </c>
      <c r="B10" s="62" t="s">
        <v>58</v>
      </c>
      <c r="C10" s="63" t="s">
        <v>473</v>
      </c>
      <c r="D10" s="64" t="s">
        <v>492</v>
      </c>
      <c r="E10" s="65">
        <v>46089.258690879629</v>
      </c>
      <c r="F10" s="65">
        <v>46100.258690879629</v>
      </c>
      <c r="G10" s="66">
        <f t="shared" ca="1" si="0"/>
        <v>28.258690879629285</v>
      </c>
      <c r="H10" s="67">
        <v>0</v>
      </c>
      <c r="I10" s="68" t="str">
        <f t="shared" ca="1" si="1"/>
        <v>🟢 En tiempo</v>
      </c>
      <c r="J10" s="69" t="str">
        <f t="shared" si="2"/>
        <v xml:space="preserve"> 0%</v>
      </c>
    </row>
    <row r="11" spans="1:10" ht="22" customHeight="1" x14ac:dyDescent="0.35">
      <c r="A11" s="62">
        <v>8</v>
      </c>
      <c r="B11" s="62" t="s">
        <v>58</v>
      </c>
      <c r="C11" s="63" t="s">
        <v>473</v>
      </c>
      <c r="D11" s="64" t="s">
        <v>493</v>
      </c>
      <c r="E11" s="65">
        <v>46092.258690879629</v>
      </c>
      <c r="F11" s="65">
        <v>46100.258690879629</v>
      </c>
      <c r="G11" s="66">
        <f t="shared" ca="1" si="0"/>
        <v>28.258690879629285</v>
      </c>
      <c r="H11" s="67">
        <v>0</v>
      </c>
      <c r="I11" s="68" t="str">
        <f t="shared" ca="1" si="1"/>
        <v>🟢 En tiempo</v>
      </c>
      <c r="J11" s="69" t="str">
        <f t="shared" si="2"/>
        <v xml:space="preserve"> 0%</v>
      </c>
    </row>
    <row r="12" spans="1:10" ht="22" customHeight="1" x14ac:dyDescent="0.35">
      <c r="A12" s="62">
        <v>9</v>
      </c>
      <c r="B12" s="62" t="s">
        <v>58</v>
      </c>
      <c r="C12" s="63" t="s">
        <v>473</v>
      </c>
      <c r="D12" s="64" t="s">
        <v>494</v>
      </c>
      <c r="E12" s="65">
        <v>46095.258690879629</v>
      </c>
      <c r="F12" s="65">
        <v>46107.258690879629</v>
      </c>
      <c r="G12" s="66">
        <f t="shared" ca="1" si="0"/>
        <v>35.258690879629285</v>
      </c>
      <c r="H12" s="67">
        <v>0</v>
      </c>
      <c r="I12" s="68" t="str">
        <f t="shared" ca="1" si="1"/>
        <v>🟢 En tiempo</v>
      </c>
      <c r="J12" s="69" t="str">
        <f t="shared" si="2"/>
        <v xml:space="preserve"> 0%</v>
      </c>
    </row>
    <row r="13" spans="1:10" ht="22" customHeight="1" x14ac:dyDescent="0.35">
      <c r="A13" s="62">
        <v>10</v>
      </c>
      <c r="B13" s="62" t="s">
        <v>58</v>
      </c>
      <c r="C13" s="63" t="s">
        <v>473</v>
      </c>
      <c r="D13" s="64" t="s">
        <v>495</v>
      </c>
      <c r="E13" s="65">
        <v>46098.258690879629</v>
      </c>
      <c r="F13" s="65">
        <v>46106.258690879629</v>
      </c>
      <c r="G13" s="66">
        <f t="shared" ca="1" si="0"/>
        <v>34.258690879629285</v>
      </c>
      <c r="H13" s="67">
        <v>0</v>
      </c>
      <c r="I13" s="68" t="str">
        <f t="shared" ca="1" si="1"/>
        <v>🟢 En tiempo</v>
      </c>
      <c r="J13" s="69" t="str">
        <f t="shared" si="2"/>
        <v xml:space="preserve"> 0%</v>
      </c>
    </row>
    <row r="14" spans="1:10" ht="22" customHeight="1" x14ac:dyDescent="0.35">
      <c r="A14" s="62">
        <v>11</v>
      </c>
      <c r="B14" s="62" t="s">
        <v>58</v>
      </c>
      <c r="C14" s="63" t="s">
        <v>473</v>
      </c>
      <c r="D14" s="64" t="s">
        <v>496</v>
      </c>
      <c r="E14" s="65">
        <v>46101.258690879629</v>
      </c>
      <c r="F14" s="65">
        <v>46110.258690879629</v>
      </c>
      <c r="G14" s="66">
        <f t="shared" ca="1" si="0"/>
        <v>38.258690879629285</v>
      </c>
      <c r="H14" s="67">
        <v>0</v>
      </c>
      <c r="I14" s="68" t="str">
        <f t="shared" ca="1" si="1"/>
        <v>🟢 En tiempo</v>
      </c>
      <c r="J14" s="69" t="str">
        <f t="shared" si="2"/>
        <v xml:space="preserve"> 0%</v>
      </c>
    </row>
    <row r="15" spans="1:10" ht="22" customHeight="1" x14ac:dyDescent="0.35">
      <c r="A15" s="62">
        <v>12</v>
      </c>
      <c r="B15" s="62" t="s">
        <v>58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58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58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58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11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600-000000000000}">
      <formula1>0</formula1>
      <formula2>100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/>
  <dimension ref="A1:J19"/>
  <sheetViews>
    <sheetView showGridLines="0" workbookViewId="0">
      <selection sqref="A1:J1"/>
    </sheetView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69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69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69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69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69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69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69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69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69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69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69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69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69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69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69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700-000000000000}">
      <formula1>0</formula1>
      <formula2>100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78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78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78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78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78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78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78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78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78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78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78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78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78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78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78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800-000000000000}">
      <formula1>0</formula1>
      <formula2>100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499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84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84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84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84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84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84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84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84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84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84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84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84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84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84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84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900-000000000000}">
      <formula1>0</formula1>
      <formula2>100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91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91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91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91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91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91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91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91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91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91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91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91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91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91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91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A00-000000000000}">
      <formula1>0</formula1>
      <formula2>100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99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99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99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99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99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99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99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99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99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99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99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99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99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99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99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B00-000000000000}">
      <formula1>0</formula1>
      <formula2>100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104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104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104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104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104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104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104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104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104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104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104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104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104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104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104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C00-000000000000}">
      <formula1>0</formula1>
      <formula2>100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113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113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113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113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113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113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113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113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113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113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113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113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113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113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113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D00-000000000000}">
      <formula1>0</formula1>
      <formula2>100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120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120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120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120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120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120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120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120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120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120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120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120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120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120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120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E00-000000000000}">
      <formula1>0</formula1>
      <formula2>100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124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124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124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124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124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124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124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124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124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124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124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124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124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124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124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0F00-000000000000}">
      <formula1>0</formula1>
      <formula2>100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129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129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129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129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129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129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129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129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129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129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129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129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129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129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129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000-000000000000}">
      <formula1>0</formula1>
      <formula2>100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136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136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136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136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136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136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136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136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136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136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136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136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136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136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136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100-000000000000}">
      <formula1>0</formula1>
      <formula2>100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143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143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143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143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143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143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143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143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143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143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143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143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143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143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143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200-000000000000}">
      <formula1>0</formula1>
      <formula2>100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509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148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148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148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148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148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148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148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148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148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148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148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148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148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148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148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300-000000000000}">
      <formula1>0</formula1>
      <formula2>100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156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156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156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156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156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156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156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156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156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156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156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156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156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156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156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400-000000000000}">
      <formula1>0</formula1>
      <formula2>100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162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162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162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162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162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162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162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162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162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162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162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162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162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162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162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500-000000000000}">
      <formula1>0</formula1>
      <formula2>100</formula2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170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170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170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170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170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170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170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170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170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170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170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170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170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170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170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600-000000000000}">
      <formula1>0</formula1>
      <formula2>100</formula2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177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177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177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177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177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177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177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177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177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177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177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177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177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177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177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700-000000000000}">
      <formula1>0</formula1>
      <formula2>100</formula2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514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183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183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183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183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183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183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183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183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183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183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183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183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183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183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183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800-000000000000}">
      <formula1>0</formula1>
      <formula2>100</formula2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515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190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190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190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190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190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190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190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190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190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190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190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190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190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190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190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900-000000000000}">
      <formula1>0</formula1>
      <formula2>100</formula2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516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197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197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197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197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197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197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197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197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197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197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197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197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197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197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197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A00-000000000000}">
      <formula1>0</formula1>
      <formula2>100</formula2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517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202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202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202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202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202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202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202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202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202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202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202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202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202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202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202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B00-000000000000}">
      <formula1>0</formula1>
      <formula2>100</formula2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518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205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205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205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205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205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205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205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205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205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205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205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205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205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205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205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C00-000000000000}">
      <formula1>0</formula1>
      <formula2>100</formula2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30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519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211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211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211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211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211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211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211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211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211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211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211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211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211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211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211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D00-000000000000}">
      <formula1>0</formula1>
      <formula2>100</formula2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31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520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217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217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217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217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217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217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217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217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217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217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217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217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217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217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217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E00-000000000000}">
      <formula1>0</formula1>
      <formula2>100</formula2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2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521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222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222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222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222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222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222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222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222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222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222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222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222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222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222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222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1F00-000000000000}">
      <formula1>0</formula1>
      <formula2>100</formula2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3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522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223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223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223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223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223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223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223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223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223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223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223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223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223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223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223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2000-000000000000}">
      <formula1>0</formula1>
      <formula2>100</formula2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34"/>
  <dimension ref="A1:J19"/>
  <sheetViews>
    <sheetView showGridLines="0" workbookViewId="0"/>
  </sheetViews>
  <sheetFormatPr baseColWidth="10" defaultColWidth="8.7265625" defaultRowHeight="14.5" x14ac:dyDescent="0.35"/>
  <cols>
    <col min="1" max="1" width="4" style="47" customWidth="1"/>
    <col min="2" max="2" width="6" style="47" customWidth="1"/>
    <col min="3" max="3" width="20" style="47" customWidth="1"/>
    <col min="4" max="4" width="30" style="47" customWidth="1"/>
    <col min="5" max="6" width="14" style="47" customWidth="1"/>
    <col min="7" max="8" width="12" style="47" customWidth="1"/>
    <col min="9" max="9" width="16" style="47" customWidth="1"/>
    <col min="10" max="10" width="12" style="47" customWidth="1"/>
  </cols>
  <sheetData>
    <row r="1" spans="1:10" ht="32" customHeight="1" x14ac:dyDescent="0.35">
      <c r="A1" s="129" t="s">
        <v>523</v>
      </c>
      <c r="B1" s="74"/>
      <c r="C1" s="74"/>
      <c r="D1" s="74"/>
      <c r="E1" s="74"/>
      <c r="F1" s="74"/>
      <c r="G1" s="74"/>
      <c r="H1" s="74"/>
      <c r="I1" s="74"/>
      <c r="J1" s="74"/>
    </row>
    <row r="2" spans="1:10" ht="18" customHeight="1" x14ac:dyDescent="0.35">
      <c r="A2" s="134" t="s">
        <v>468</v>
      </c>
      <c r="B2" s="74"/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35">
      <c r="A3" s="52" t="s">
        <v>424</v>
      </c>
      <c r="B3" s="52" t="s">
        <v>469</v>
      </c>
      <c r="C3" s="52" t="s">
        <v>470</v>
      </c>
      <c r="D3" s="52" t="s">
        <v>425</v>
      </c>
      <c r="E3" s="52" t="s">
        <v>462</v>
      </c>
      <c r="F3" s="52" t="s">
        <v>471</v>
      </c>
      <c r="G3" s="52" t="s">
        <v>464</v>
      </c>
      <c r="H3" s="52" t="s">
        <v>429</v>
      </c>
      <c r="I3" s="52" t="s">
        <v>25</v>
      </c>
      <c r="J3" s="52" t="s">
        <v>472</v>
      </c>
    </row>
    <row r="4" spans="1:10" ht="22" customHeight="1" x14ac:dyDescent="0.35">
      <c r="A4" s="62">
        <v>1</v>
      </c>
      <c r="B4" s="62" t="s">
        <v>224</v>
      </c>
      <c r="C4" s="63"/>
      <c r="D4" s="64"/>
      <c r="E4" s="65"/>
      <c r="F4" s="65"/>
      <c r="G4" s="66" t="str">
        <f t="shared" ref="G4:G18" ca="1" si="0">IF(F4="","",F4-TODAY())</f>
        <v/>
      </c>
      <c r="H4" s="67"/>
      <c r="I4" s="68" t="str">
        <f t="shared" ref="I4:I18" ca="1" si="1">IF(D4="","",IF(H4=100,"✅ Completada",IF(F4="","",IF(F4&lt;TODAY(),"🔴 Vencida",IF(G4&lt;=5,"🟡 Por vencer","🟢 En tiempo")))))</f>
        <v/>
      </c>
      <c r="J4" s="69" t="str">
        <f t="shared" ref="J4:J18" si="2">IF(H4="","",REPT("█",ROUND(H4/10,0))&amp;" "&amp;H4&amp;"%")</f>
        <v/>
      </c>
    </row>
    <row r="5" spans="1:10" ht="22" customHeight="1" x14ac:dyDescent="0.35">
      <c r="A5" s="62">
        <v>2</v>
      </c>
      <c r="B5" s="62" t="s">
        <v>224</v>
      </c>
      <c r="C5" s="63"/>
      <c r="D5" s="64"/>
      <c r="E5" s="65"/>
      <c r="F5" s="65"/>
      <c r="G5" s="66" t="str">
        <f t="shared" ca="1" si="0"/>
        <v/>
      </c>
      <c r="H5" s="67"/>
      <c r="I5" s="68" t="str">
        <f t="shared" ca="1" si="1"/>
        <v/>
      </c>
      <c r="J5" s="69" t="str">
        <f t="shared" si="2"/>
        <v/>
      </c>
    </row>
    <row r="6" spans="1:10" ht="22" customHeight="1" x14ac:dyDescent="0.35">
      <c r="A6" s="62">
        <v>3</v>
      </c>
      <c r="B6" s="62" t="s">
        <v>224</v>
      </c>
      <c r="C6" s="63"/>
      <c r="D6" s="64"/>
      <c r="E6" s="65"/>
      <c r="F6" s="65"/>
      <c r="G6" s="66" t="str">
        <f t="shared" ca="1" si="0"/>
        <v/>
      </c>
      <c r="H6" s="67"/>
      <c r="I6" s="68" t="str">
        <f t="shared" ca="1" si="1"/>
        <v/>
      </c>
      <c r="J6" s="69" t="str">
        <f t="shared" si="2"/>
        <v/>
      </c>
    </row>
    <row r="7" spans="1:10" ht="22" customHeight="1" x14ac:dyDescent="0.35">
      <c r="A7" s="62">
        <v>4</v>
      </c>
      <c r="B7" s="62" t="s">
        <v>224</v>
      </c>
      <c r="C7" s="63"/>
      <c r="D7" s="64"/>
      <c r="E7" s="65"/>
      <c r="F7" s="65"/>
      <c r="G7" s="66" t="str">
        <f t="shared" ca="1" si="0"/>
        <v/>
      </c>
      <c r="H7" s="67"/>
      <c r="I7" s="68" t="str">
        <f t="shared" ca="1" si="1"/>
        <v/>
      </c>
      <c r="J7" s="69" t="str">
        <f t="shared" si="2"/>
        <v/>
      </c>
    </row>
    <row r="8" spans="1:10" ht="22" customHeight="1" x14ac:dyDescent="0.35">
      <c r="A8" s="62">
        <v>5</v>
      </c>
      <c r="B8" s="62" t="s">
        <v>224</v>
      </c>
      <c r="C8" s="63"/>
      <c r="D8" s="64"/>
      <c r="E8" s="65"/>
      <c r="F8" s="65"/>
      <c r="G8" s="66" t="str">
        <f t="shared" ca="1" si="0"/>
        <v/>
      </c>
      <c r="H8" s="67"/>
      <c r="I8" s="68" t="str">
        <f t="shared" ca="1" si="1"/>
        <v/>
      </c>
      <c r="J8" s="69" t="str">
        <f t="shared" si="2"/>
        <v/>
      </c>
    </row>
    <row r="9" spans="1:10" ht="22" customHeight="1" x14ac:dyDescent="0.35">
      <c r="A9" s="62">
        <v>6</v>
      </c>
      <c r="B9" s="62" t="s">
        <v>224</v>
      </c>
      <c r="C9" s="63"/>
      <c r="D9" s="64"/>
      <c r="E9" s="65"/>
      <c r="F9" s="65"/>
      <c r="G9" s="66" t="str">
        <f t="shared" ca="1" si="0"/>
        <v/>
      </c>
      <c r="H9" s="67"/>
      <c r="I9" s="68" t="str">
        <f t="shared" ca="1" si="1"/>
        <v/>
      </c>
      <c r="J9" s="69" t="str">
        <f t="shared" si="2"/>
        <v/>
      </c>
    </row>
    <row r="10" spans="1:10" ht="22" customHeight="1" x14ac:dyDescent="0.35">
      <c r="A10" s="62">
        <v>7</v>
      </c>
      <c r="B10" s="62" t="s">
        <v>224</v>
      </c>
      <c r="C10" s="63"/>
      <c r="D10" s="64"/>
      <c r="E10" s="65"/>
      <c r="F10" s="65"/>
      <c r="G10" s="66" t="str">
        <f t="shared" ca="1" si="0"/>
        <v/>
      </c>
      <c r="H10" s="67"/>
      <c r="I10" s="68" t="str">
        <f t="shared" ca="1" si="1"/>
        <v/>
      </c>
      <c r="J10" s="69" t="str">
        <f t="shared" si="2"/>
        <v/>
      </c>
    </row>
    <row r="11" spans="1:10" ht="22" customHeight="1" x14ac:dyDescent="0.35">
      <c r="A11" s="62">
        <v>8</v>
      </c>
      <c r="B11" s="62" t="s">
        <v>224</v>
      </c>
      <c r="C11" s="63"/>
      <c r="D11" s="64"/>
      <c r="E11" s="65"/>
      <c r="F11" s="65"/>
      <c r="G11" s="66" t="str">
        <f t="shared" ca="1" si="0"/>
        <v/>
      </c>
      <c r="H11" s="67"/>
      <c r="I11" s="68" t="str">
        <f t="shared" ca="1" si="1"/>
        <v/>
      </c>
      <c r="J11" s="69" t="str">
        <f t="shared" si="2"/>
        <v/>
      </c>
    </row>
    <row r="12" spans="1:10" ht="22" customHeight="1" x14ac:dyDescent="0.35">
      <c r="A12" s="62">
        <v>9</v>
      </c>
      <c r="B12" s="62" t="s">
        <v>224</v>
      </c>
      <c r="C12" s="63"/>
      <c r="D12" s="64"/>
      <c r="E12" s="65"/>
      <c r="F12" s="65"/>
      <c r="G12" s="66" t="str">
        <f t="shared" ca="1" si="0"/>
        <v/>
      </c>
      <c r="H12" s="67"/>
      <c r="I12" s="68" t="str">
        <f t="shared" ca="1" si="1"/>
        <v/>
      </c>
      <c r="J12" s="69" t="str">
        <f t="shared" si="2"/>
        <v/>
      </c>
    </row>
    <row r="13" spans="1:10" ht="22" customHeight="1" x14ac:dyDescent="0.35">
      <c r="A13" s="62">
        <v>10</v>
      </c>
      <c r="B13" s="62" t="s">
        <v>224</v>
      </c>
      <c r="C13" s="63"/>
      <c r="D13" s="64"/>
      <c r="E13" s="65"/>
      <c r="F13" s="65"/>
      <c r="G13" s="66" t="str">
        <f t="shared" ca="1" si="0"/>
        <v/>
      </c>
      <c r="H13" s="67"/>
      <c r="I13" s="68" t="str">
        <f t="shared" ca="1" si="1"/>
        <v/>
      </c>
      <c r="J13" s="69" t="str">
        <f t="shared" si="2"/>
        <v/>
      </c>
    </row>
    <row r="14" spans="1:10" ht="22" customHeight="1" x14ac:dyDescent="0.35">
      <c r="A14" s="62">
        <v>11</v>
      </c>
      <c r="B14" s="62" t="s">
        <v>224</v>
      </c>
      <c r="C14" s="63"/>
      <c r="D14" s="64"/>
      <c r="E14" s="65"/>
      <c r="F14" s="65"/>
      <c r="G14" s="66" t="str">
        <f t="shared" ca="1" si="0"/>
        <v/>
      </c>
      <c r="H14" s="67"/>
      <c r="I14" s="68" t="str">
        <f t="shared" ca="1" si="1"/>
        <v/>
      </c>
      <c r="J14" s="69" t="str">
        <f t="shared" si="2"/>
        <v/>
      </c>
    </row>
    <row r="15" spans="1:10" ht="22" customHeight="1" x14ac:dyDescent="0.35">
      <c r="A15" s="62">
        <v>12</v>
      </c>
      <c r="B15" s="62" t="s">
        <v>224</v>
      </c>
      <c r="C15" s="63"/>
      <c r="D15" s="64"/>
      <c r="E15" s="65"/>
      <c r="F15" s="65"/>
      <c r="G15" s="66" t="str">
        <f t="shared" ca="1" si="0"/>
        <v/>
      </c>
      <c r="H15" s="67"/>
      <c r="I15" s="68" t="str">
        <f t="shared" ca="1" si="1"/>
        <v/>
      </c>
      <c r="J15" s="69" t="str">
        <f t="shared" si="2"/>
        <v/>
      </c>
    </row>
    <row r="16" spans="1:10" ht="22" customHeight="1" x14ac:dyDescent="0.35">
      <c r="A16" s="62">
        <v>13</v>
      </c>
      <c r="B16" s="62" t="s">
        <v>224</v>
      </c>
      <c r="C16" s="63"/>
      <c r="D16" s="64"/>
      <c r="E16" s="65"/>
      <c r="F16" s="65"/>
      <c r="G16" s="66" t="str">
        <f t="shared" ca="1" si="0"/>
        <v/>
      </c>
      <c r="H16" s="67"/>
      <c r="I16" s="68" t="str">
        <f t="shared" ca="1" si="1"/>
        <v/>
      </c>
      <c r="J16" s="69" t="str">
        <f t="shared" si="2"/>
        <v/>
      </c>
    </row>
    <row r="17" spans="1:10" ht="22" customHeight="1" x14ac:dyDescent="0.35">
      <c r="A17" s="62">
        <v>14</v>
      </c>
      <c r="B17" s="62" t="s">
        <v>224</v>
      </c>
      <c r="C17" s="63"/>
      <c r="D17" s="64"/>
      <c r="E17" s="65"/>
      <c r="F17" s="65"/>
      <c r="G17" s="66" t="str">
        <f t="shared" ca="1" si="0"/>
        <v/>
      </c>
      <c r="H17" s="67"/>
      <c r="I17" s="68" t="str">
        <f t="shared" ca="1" si="1"/>
        <v/>
      </c>
      <c r="J17" s="69" t="str">
        <f t="shared" si="2"/>
        <v/>
      </c>
    </row>
    <row r="18" spans="1:10" ht="22" customHeight="1" x14ac:dyDescent="0.35">
      <c r="A18" s="62">
        <v>15</v>
      </c>
      <c r="B18" s="62" t="s">
        <v>224</v>
      </c>
      <c r="C18" s="63"/>
      <c r="D18" s="64"/>
      <c r="E18" s="65"/>
      <c r="F18" s="65"/>
      <c r="G18" s="66" t="str">
        <f t="shared" ca="1" si="0"/>
        <v/>
      </c>
      <c r="H18" s="67"/>
      <c r="I18" s="68" t="str">
        <f t="shared" ca="1" si="1"/>
        <v/>
      </c>
      <c r="J18" s="69" t="str">
        <f t="shared" si="2"/>
        <v/>
      </c>
    </row>
    <row r="19" spans="1:10" ht="25" customHeight="1" x14ac:dyDescent="0.35">
      <c r="A19" s="130" t="s">
        <v>485</v>
      </c>
      <c r="B19" s="131"/>
      <c r="C19" s="131"/>
      <c r="D19" s="131"/>
      <c r="E19" s="131"/>
      <c r="F19" s="131"/>
      <c r="G19" s="132"/>
      <c r="H19" s="70">
        <f>IFERROR(AVERAGE(IF(H4:H18&lt;&gt;"",H4:H18)),0)</f>
        <v>0</v>
      </c>
      <c r="I19" s="133" t="str">
        <f ca="1">COUNTIF(I4:I18,"✅ Completada")&amp;" de "&amp;COUNTA(D4:D18)&amp;" tareas completadas"</f>
        <v>0 de 0 tareas completadas</v>
      </c>
      <c r="J19" s="132"/>
    </row>
  </sheetData>
  <mergeCells count="4">
    <mergeCell ref="A1:J1"/>
    <mergeCell ref="A19:G19"/>
    <mergeCell ref="I19:J19"/>
    <mergeCell ref="A2:J2"/>
  </mergeCells>
  <dataValidations count="1">
    <dataValidation type="whole" showErrorMessage="1" errorTitle="Error" error="Ingrese un valor entre 0 y 100" sqref="H4:H18" xr:uid="{00000000-0002-0000-2100-000000000000}">
      <formula1>0</formula1>
      <formula2>100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📋 Instrucciones</vt:lpstr>
      <vt:lpstr>Data Original</vt:lpstr>
      <vt:lpstr>🚀 Exportar</vt:lpstr>
      <vt:lpstr>Formulario Tareas</vt:lpstr>
      <vt:lpstr>Dashboard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OSWALDO</cp:lastModifiedBy>
  <cp:revision>0</cp:revision>
  <dcterms:created xsi:type="dcterms:W3CDTF">2026-02-17T20:20:56Z</dcterms:created>
  <dcterms:modified xsi:type="dcterms:W3CDTF">2026-02-19T22:37:21Z</dcterms:modified>
  <dc:language>en-US</dc:language>
</cp:coreProperties>
</file>